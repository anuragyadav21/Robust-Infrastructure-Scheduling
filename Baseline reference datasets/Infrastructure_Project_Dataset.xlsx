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nurag/Documents/Optimization/Baseline reference datasets/"/>
    </mc:Choice>
  </mc:AlternateContent>
  <xr:revisionPtr revIDLastSave="0" documentId="13_ncr:1_{154B8349-B996-AE46-AD80-D63C39D34ECB}" xr6:coauthVersionLast="47" xr6:coauthVersionMax="47" xr10:uidLastSave="{00000000-0000-0000-0000-000000000000}"/>
  <bookViews>
    <workbookView xWindow="0" yWindow="660" windowWidth="30240" windowHeight="17760" activeTab="6" xr2:uid="{00000000-000D-0000-FFFF-FFFF00000000}"/>
  </bookViews>
  <sheets>
    <sheet name="Project Overview" sheetId="1" r:id="rId1"/>
    <sheet name="WBS – Task Schedule" sheetId="2" r:id="rId2"/>
    <sheet name="Daily Resource Log" sheetId="3" r:id="rId3"/>
    <sheet name="Traffic Patterns" sheetId="4" r:id="rId4"/>
    <sheet name="Cost Tracking" sheetId="5" r:id="rId5"/>
    <sheet name="Risk &amp; Uncertainty Log" sheetId="6" r:id="rId6"/>
    <sheet name="Traffic – Optimisation Inpu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5" l="1"/>
  <c r="E67" i="5"/>
  <c r="D67" i="5"/>
  <c r="N43" i="3"/>
  <c r="G43" i="3"/>
  <c r="F43" i="3"/>
  <c r="E43" i="3"/>
</calcChain>
</file>

<file path=xl/sharedStrings.xml><?xml version="1.0" encoding="utf-8"?>
<sst xmlns="http://schemas.openxmlformats.org/spreadsheetml/2006/main" count="1435" uniqueCount="462">
  <si>
    <t>ROBUST OPTIMISATION – Infrastructure Scheduling under Traffic &amp; Operational Uncertainty</t>
  </si>
  <si>
    <t>Project: Urban Road Reconstruction – Sector 7 Arterial Corridor  |  Location: Mid-size US city  |  Duration: 8 Weeks (2 Months)</t>
  </si>
  <si>
    <t>KEY PROJECT ASSUMPTIONS &amp; UNCERTAINTY PARAMETERS</t>
  </si>
  <si>
    <t>PROJECT PARAMETERS</t>
  </si>
  <si>
    <t>UNCERTAINTY PARAMETERS</t>
  </si>
  <si>
    <t>Start Date</t>
  </si>
  <si>
    <t>03-Mar-2025</t>
  </si>
  <si>
    <t>Traffic Delay Multiplier (peak)</t>
  </si>
  <si>
    <t>1.4 – 1.8×</t>
  </si>
  <si>
    <t>End Date (planned)</t>
  </si>
  <si>
    <t>26-Apr-2025</t>
  </si>
  <si>
    <t>Traffic Delay Multiplier (off-peak)</t>
  </si>
  <si>
    <t>1.0 – 1.2×</t>
  </si>
  <si>
    <t>Working Days</t>
  </si>
  <si>
    <t>Task Duration Variance (σ)</t>
  </si>
  <si>
    <t>±15%</t>
  </si>
  <si>
    <t>Working Hours/Day</t>
  </si>
  <si>
    <t>10 hrs  (07:00–17:00)</t>
  </si>
  <si>
    <t>Resource Availability Uncertainty</t>
  </si>
  <si>
    <t>±10%</t>
  </si>
  <si>
    <t>Project Budget</t>
  </si>
  <si>
    <t>Material Delivery Delay (prob.)</t>
  </si>
  <si>
    <t>25% chance / delivery</t>
  </si>
  <si>
    <t>Contingency (10%)</t>
  </si>
  <si>
    <t>Weather Event Probability</t>
  </si>
  <si>
    <t>8% / week</t>
  </si>
  <si>
    <t>Total Corridor Length</t>
  </si>
  <si>
    <t>2.4 km</t>
  </si>
  <si>
    <t>Equipment Breakdown Probability</t>
  </si>
  <si>
    <t>5% / machine-day</t>
  </si>
  <si>
    <t>Lanes Affected</t>
  </si>
  <si>
    <t>2 of 4 lanes</t>
  </si>
  <si>
    <t>Cost Overrun per Delay Day</t>
  </si>
  <si>
    <t>$8,500 – $12,000</t>
  </si>
  <si>
    <t>Peak Traffic Vol.</t>
  </si>
  <si>
    <t>3,200 veh/hr</t>
  </si>
  <si>
    <t>Monte Carlo Iterations (planned)</t>
  </si>
  <si>
    <t>WORK BREAKDOWN STRUCTURE – Task Schedule with Planned vs Actual Tracking</t>
  </si>
  <si>
    <t>Task ID</t>
  </si>
  <si>
    <t>WBS Level</t>
  </si>
  <si>
    <t>Task Name</t>
  </si>
  <si>
    <t>Predecessor</t>
  </si>
  <si>
    <t>Resource Type</t>
  </si>
  <si>
    <t>Crew Size</t>
  </si>
  <si>
    <t>Planned Start</t>
  </si>
  <si>
    <t>Planned End</t>
  </si>
  <si>
    <t>Planned Duration
(days)</t>
  </si>
  <si>
    <t>Actual Start</t>
  </si>
  <si>
    <t>Actual End</t>
  </si>
  <si>
    <t>Actual Duration
(days)</t>
  </si>
  <si>
    <t>Delay (days)</t>
  </si>
  <si>
    <t>Delay Cause</t>
  </si>
  <si>
    <t>Traffic Impact
(H/M/L)</t>
  </si>
  <si>
    <t>Planned Cost ($)</t>
  </si>
  <si>
    <t>T01</t>
  </si>
  <si>
    <t>Site Mobilisation &amp; Setup</t>
  </si>
  <si>
    <t>–</t>
  </si>
  <si>
    <t>General Labour</t>
  </si>
  <si>
    <t>05-Mar-2025</t>
  </si>
  <si>
    <t>Low</t>
  </si>
  <si>
    <t>T02</t>
  </si>
  <si>
    <t>Utility Survey &amp; Marking</t>
  </si>
  <si>
    <t>Survey Team</t>
  </si>
  <si>
    <t>06-Mar-2025</t>
  </si>
  <si>
    <t>07-Mar-2025</t>
  </si>
  <si>
    <t>10-Mar-2025</t>
  </si>
  <si>
    <t>Traffic delay</t>
  </si>
  <si>
    <t>Medium</t>
  </si>
  <si>
    <t>T03</t>
  </si>
  <si>
    <t>Utility Relocation – Gas</t>
  </si>
  <si>
    <t>Specialist Crew</t>
  </si>
  <si>
    <t>14-Mar-2025</t>
  </si>
  <si>
    <t>18-Mar-2025</t>
  </si>
  <si>
    <t>Material delivery</t>
  </si>
  <si>
    <t>High</t>
  </si>
  <si>
    <t>T04</t>
  </si>
  <si>
    <t>Utility Relocation – Fibre</t>
  </si>
  <si>
    <t>13-Mar-2025</t>
  </si>
  <si>
    <t>T05</t>
  </si>
  <si>
    <t>Traffic Diversion Setup</t>
  </si>
  <si>
    <t>Traffic Mgmt</t>
  </si>
  <si>
    <t>Permit delay</t>
  </si>
  <si>
    <t>T06</t>
  </si>
  <si>
    <t>Lane Closure – Phase 1</t>
  </si>
  <si>
    <t>21-Mar-2025</t>
  </si>
  <si>
    <t>26-Mar-2025</t>
  </si>
  <si>
    <t>Traffic peak conflict</t>
  </si>
  <si>
    <t>T07</t>
  </si>
  <si>
    <t>Pavement Milling – Seg A</t>
  </si>
  <si>
    <t>Heavy Equipment</t>
  </si>
  <si>
    <t>19-Mar-2025</t>
  </si>
  <si>
    <t>Equipment breakdown</t>
  </si>
  <si>
    <t>T08</t>
  </si>
  <si>
    <t>Pavement Milling – Seg B</t>
  </si>
  <si>
    <t>24-Mar-2025</t>
  </si>
  <si>
    <t>T09</t>
  </si>
  <si>
    <t>Pavement Milling – Seg C</t>
  </si>
  <si>
    <t>25-Mar-2025</t>
  </si>
  <si>
    <t>28-Mar-2025</t>
  </si>
  <si>
    <t>01-Apr-2025</t>
  </si>
  <si>
    <t>Weather event</t>
  </si>
  <si>
    <t>T10</t>
  </si>
  <si>
    <t>Sub-base Preparation – Seg A</t>
  </si>
  <si>
    <t>Earthworks Crew</t>
  </si>
  <si>
    <t>T11</t>
  </si>
  <si>
    <t>Sub-base Preparation – Seg B</t>
  </si>
  <si>
    <t>T12</t>
  </si>
  <si>
    <t>Sub-base Preparation – Seg C</t>
  </si>
  <si>
    <t>02-Apr-2025</t>
  </si>
  <si>
    <t>08-Apr-2025</t>
  </si>
  <si>
    <t>10-Apr-2025</t>
  </si>
  <si>
    <t>T13</t>
  </si>
  <si>
    <t>Drainage Installation – Seg A</t>
  </si>
  <si>
    <t>03-Apr-2025</t>
  </si>
  <si>
    <t>Traffic conflict</t>
  </si>
  <si>
    <t>T14</t>
  </si>
  <si>
    <t>Drainage Installation – Seg B</t>
  </si>
  <si>
    <t>T15</t>
  </si>
  <si>
    <t>Drainage Installation – Seg C</t>
  </si>
  <si>
    <t>11-Apr-2025</t>
  </si>
  <si>
    <t>17-Apr-2025</t>
  </si>
  <si>
    <t>22-Apr-2025</t>
  </si>
  <si>
    <t>T16</t>
  </si>
  <si>
    <t>Base Course Laying – Seg A</t>
  </si>
  <si>
    <t>Paving Crew</t>
  </si>
  <si>
    <t>T17</t>
  </si>
  <si>
    <t>Base Course Laying – Seg B</t>
  </si>
  <si>
    <t>09-Apr-2025</t>
  </si>
  <si>
    <t>14-Apr-2025</t>
  </si>
  <si>
    <t>15-Apr-2025</t>
  </si>
  <si>
    <t>T18</t>
  </si>
  <si>
    <t>Base Course Laying – Seg C</t>
  </si>
  <si>
    <t>18-Apr-2025</t>
  </si>
  <si>
    <t>Weather + traffic</t>
  </si>
  <si>
    <t>T19</t>
  </si>
  <si>
    <t>Asphalt Paving – Seg A</t>
  </si>
  <si>
    <t>Paving + QC</t>
  </si>
  <si>
    <t>T20</t>
  </si>
  <si>
    <t>Asphalt Paving – Seg B</t>
  </si>
  <si>
    <t>16-Apr-2025</t>
  </si>
  <si>
    <t>Material delay</t>
  </si>
  <si>
    <t>T21</t>
  </si>
  <si>
    <t>Asphalt Paving – Seg C</t>
  </si>
  <si>
    <t>21-Apr-2025</t>
  </si>
  <si>
    <t>23-Apr-2025</t>
  </si>
  <si>
    <t>Peak hour shutdown</t>
  </si>
  <si>
    <t>T22</t>
  </si>
  <si>
    <t>Road Marking &amp; Signage</t>
  </si>
  <si>
    <t>24-Apr-2025</t>
  </si>
  <si>
    <t>25-Apr-2025</t>
  </si>
  <si>
    <t>Permit</t>
  </si>
  <si>
    <t>T23</t>
  </si>
  <si>
    <t>Safety Barrier Installation</t>
  </si>
  <si>
    <t>T24</t>
  </si>
  <si>
    <t>Final Inspection &amp; Handover</t>
  </si>
  <si>
    <t>T22,T23</t>
  </si>
  <si>
    <t>QA/QC Team</t>
  </si>
  <si>
    <t>Punch-list items</t>
  </si>
  <si>
    <t>LEGEND:</t>
  </si>
  <si>
    <t>Delay &gt; 1 day</t>
  </si>
  <si>
    <t>Delay = 1 day</t>
  </si>
  <si>
    <t>On schedule</t>
  </si>
  <si>
    <t>DAILY RESOURCE UTILISATION LOG – 8 Weeks (40 Working Days)</t>
  </si>
  <si>
    <t>Day</t>
  </si>
  <si>
    <t>Date</t>
  </si>
  <si>
    <t>Week</t>
  </si>
  <si>
    <t>Day of Week</t>
  </si>
  <si>
    <t>Active Tasks</t>
  </si>
  <si>
    <t>Total Crew
(Planned)</t>
  </si>
  <si>
    <t>Total Crew
(Actual)</t>
  </si>
  <si>
    <t>Crew Util %</t>
  </si>
  <si>
    <t>Equipment
Units</t>
  </si>
  <si>
    <t>Equipment
Util %</t>
  </si>
  <si>
    <t>Materials
Delivered</t>
  </si>
  <si>
    <t>Delivery
Delay?</t>
  </si>
  <si>
    <t>Idle Hours
(crew)</t>
  </si>
  <si>
    <t>Daily Cost ($)</t>
  </si>
  <si>
    <t>Week 1</t>
  </si>
  <si>
    <t>Monday</t>
  </si>
  <si>
    <t>100%</t>
  </si>
  <si>
    <t>71%</t>
  </si>
  <si>
    <t>Yes</t>
  </si>
  <si>
    <t>No</t>
  </si>
  <si>
    <t>04-Mar-2025</t>
  </si>
  <si>
    <t>Tuesday</t>
  </si>
  <si>
    <t>93%</t>
  </si>
  <si>
    <t>91%</t>
  </si>
  <si>
    <t>Wednesday</t>
  </si>
  <si>
    <t>Thursday</t>
  </si>
  <si>
    <t>Friday</t>
  </si>
  <si>
    <t>83%</t>
  </si>
  <si>
    <t>Week 2</t>
  </si>
  <si>
    <t>105%</t>
  </si>
  <si>
    <t>74%</t>
  </si>
  <si>
    <t>11-Mar-2025</t>
  </si>
  <si>
    <t>94%</t>
  </si>
  <si>
    <t>12-Mar-2025</t>
  </si>
  <si>
    <t>95%</t>
  </si>
  <si>
    <t>80%</t>
  </si>
  <si>
    <t>96%</t>
  </si>
  <si>
    <t>92%</t>
  </si>
  <si>
    <t>78%</t>
  </si>
  <si>
    <t>17-Mar-2025</t>
  </si>
  <si>
    <t>Week 3</t>
  </si>
  <si>
    <t>72%</t>
  </si>
  <si>
    <t>110%</t>
  </si>
  <si>
    <t>88%</t>
  </si>
  <si>
    <t>20-Mar-2025</t>
  </si>
  <si>
    <t>76%</t>
  </si>
  <si>
    <t>104%</t>
  </si>
  <si>
    <t>75%</t>
  </si>
  <si>
    <t>Week 4</t>
  </si>
  <si>
    <t>108%</t>
  </si>
  <si>
    <t>81%</t>
  </si>
  <si>
    <t>27-Mar-2025</t>
  </si>
  <si>
    <t>109%</t>
  </si>
  <si>
    <t>86%</t>
  </si>
  <si>
    <t>31-Mar-2025</t>
  </si>
  <si>
    <t>Week 5</t>
  </si>
  <si>
    <t>111%</t>
  </si>
  <si>
    <t>04-Apr-2025</t>
  </si>
  <si>
    <t>07-Apr-2025</t>
  </si>
  <si>
    <t>Week 6</t>
  </si>
  <si>
    <t>70%</t>
  </si>
  <si>
    <t>106%</t>
  </si>
  <si>
    <t>84%</t>
  </si>
  <si>
    <t>Week 7</t>
  </si>
  <si>
    <t>77%</t>
  </si>
  <si>
    <t>107%</t>
  </si>
  <si>
    <t>97%</t>
  </si>
  <si>
    <t>Week 8</t>
  </si>
  <si>
    <t>87%</t>
  </si>
  <si>
    <t>89%</t>
  </si>
  <si>
    <t>112%</t>
  </si>
  <si>
    <t>TOTALS / AVERAGES</t>
  </si>
  <si>
    <t>TRAFFIC VOLUME &amp; IMPACT LOG – Hourly Pattern by Day (vehicles/hour and delay index)</t>
  </si>
  <si>
    <t>Baseline: 2-lane closure active on Arterial Corridor.  Peak AM: 07:00–09:00  |  Peak PM: 17:00–19:00  |  Volumes include construction-related diversions.</t>
  </si>
  <si>
    <t>Construction
Activity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</si>
  <si>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</si>
  <si>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</si>
  <si>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</si>
  <si>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</si>
  <si>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</si>
  <si>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</si>
  <si>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</si>
  <si>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</si>
  <si>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</si>
  <si>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</si>
  <si>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</si>
  <si>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</si>
  <si>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</si>
  <si>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</si>
  <si>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Daily Total
(veh)</t>
  </si>
  <si>
    <t>Peak Hour
Vol (veh/hr)</t>
  </si>
  <si>
    <t>Delay Index
(0–1)</t>
  </si>
  <si>
    <t>Avg Speed
(km/h)</t>
  </si>
  <si>
    <t>Site Mobilisation</t>
  </si>
  <si>
    <t>Utility Relocation + Lane Closure</t>
  </si>
  <si>
    <t>Milling + Sub-base</t>
  </si>
  <si>
    <t>Paving</t>
  </si>
  <si>
    <t>Finishing + Handover</t>
  </si>
  <si>
    <t>WEEKLY TRAFFIC SUMMARY</t>
  </si>
  <si>
    <t>Dates</t>
  </si>
  <si>
    <t>Avg Daily Vol
(veh/day)</t>
  </si>
  <si>
    <t>Peak Vol
(veh/hr)</t>
  </si>
  <si>
    <t>Avg Delay
Index</t>
  </si>
  <si>
    <t>Construction Phase</t>
  </si>
  <si>
    <t>Notable Events</t>
  </si>
  <si>
    <t>03–07 Mar</t>
  </si>
  <si>
    <t>9,450</t>
  </si>
  <si>
    <t>1,245</t>
  </si>
  <si>
    <t>0.32</t>
  </si>
  <si>
    <t>48</t>
  </si>
  <si>
    <t>Minor disruption; traffic management beginning</t>
  </si>
  <si>
    <t>10–14 Mar</t>
  </si>
  <si>
    <t>11,200</t>
  </si>
  <si>
    <t>1,380</t>
  </si>
  <si>
    <t>0.44</t>
  </si>
  <si>
    <t>39</t>
  </si>
  <si>
    <t>Utility Relocation</t>
  </si>
  <si>
    <t>Gas line work causes 1-hour shutdowns; detours active</t>
  </si>
  <si>
    <t>17–21 Mar</t>
  </si>
  <si>
    <t>13,500</t>
  </si>
  <si>
    <t>1,510</t>
  </si>
  <si>
    <t>0.58</t>
  </si>
  <si>
    <t>31</t>
  </si>
  <si>
    <t>Lane Closure + Milling</t>
  </si>
  <si>
    <t>2-lane closure; peak AM severely congested</t>
  </si>
  <si>
    <t>24–28 Mar</t>
  </si>
  <si>
    <t>14,200</t>
  </si>
  <si>
    <t>1,620</t>
  </si>
  <si>
    <t>0.66</t>
  </si>
  <si>
    <t>26</t>
  </si>
  <si>
    <t>Worst congestion week; weather event Day 18</t>
  </si>
  <si>
    <t>31 Mar–04 Apr</t>
  </si>
  <si>
    <t>12,800</t>
  </si>
  <si>
    <t>1,490</t>
  </si>
  <si>
    <t>0.55</t>
  </si>
  <si>
    <t>33</t>
  </si>
  <si>
    <t>Sub-base + Drainage</t>
  </si>
  <si>
    <t>Moderate; rain delay adds cascade effect</t>
  </si>
  <si>
    <t>07–11 Apr</t>
  </si>
  <si>
    <t>12,100</t>
  </si>
  <si>
    <t>1,420</t>
  </si>
  <si>
    <t>0.50</t>
  </si>
  <si>
    <t>36</t>
  </si>
  <si>
    <t>Drainage + Base Paving</t>
  </si>
  <si>
    <t>Recovery; one equipment breakdown</t>
  </si>
  <si>
    <t>14–18 Apr</t>
  </si>
  <si>
    <t>10,800</t>
  </si>
  <si>
    <t>1,320</t>
  </si>
  <si>
    <t>0.42</t>
  </si>
  <si>
    <t>41</t>
  </si>
  <si>
    <t>Asphalt Paving</t>
  </si>
  <si>
    <t>Lane partially reopened mid-week; traffic easing</t>
  </si>
  <si>
    <t>22–26 Apr</t>
  </si>
  <si>
    <t>8,600</t>
  </si>
  <si>
    <t>1,180</t>
  </si>
  <si>
    <t>0.28</t>
  </si>
  <si>
    <t>51</t>
  </si>
  <si>
    <t>Near-normal; final marking &amp; inspection</t>
  </si>
  <si>
    <t>COST TRACKING LEDGER – Planned vs Actual with Variance Analysis</t>
  </si>
  <si>
    <t>Cost Category</t>
  </si>
  <si>
    <t>Actual Cost ($)</t>
  </si>
  <si>
    <t>Variance ($)</t>
  </si>
  <si>
    <t>Variance %</t>
  </si>
  <si>
    <t>Cause of Overrun</t>
  </si>
  <si>
    <t>Delay-linked?</t>
  </si>
  <si>
    <t>Cumulative Actual ($)</t>
  </si>
  <si>
    <t>Labour</t>
  </si>
  <si>
    <t>Material cost increase</t>
  </si>
  <si>
    <t>Equipment Hire</t>
  </si>
  <si>
    <t>Labour overtime</t>
  </si>
  <si>
    <t>Materials</t>
  </si>
  <si>
    <t>Traffic Management</t>
  </si>
  <si>
    <t>Subcontractor</t>
  </si>
  <si>
    <t>QA/QC</t>
  </si>
  <si>
    <t>On budget</t>
  </si>
  <si>
    <t>Site Overheads</t>
  </si>
  <si>
    <t>Contingency Draw</t>
  </si>
  <si>
    <t>Weather</t>
  </si>
  <si>
    <t>PROJECT TOTALS</t>
  </si>
  <si>
    <t>RISK REGISTER &amp; UNCERTAINTY EVENT LOG – Observed Events for Monte Carlo Calibration</t>
  </si>
  <si>
    <t>Event ID</t>
  </si>
  <si>
    <t>Risk Category</t>
  </si>
  <si>
    <t>Description</t>
  </si>
  <si>
    <t>Probability
(assigned)</t>
  </si>
  <si>
    <t>Occurred?</t>
  </si>
  <si>
    <t>Impact Type</t>
  </si>
  <si>
    <t>Delay Caused
(days)</t>
  </si>
  <si>
    <t>Cost Impact ($)</t>
  </si>
  <si>
    <t>Affected Tasks</t>
  </si>
  <si>
    <t>R001</t>
  </si>
  <si>
    <t>Wk1</t>
  </si>
  <si>
    <t>Traffic</t>
  </si>
  <si>
    <t>Peak-hour delivery truck blocked site access</t>
  </si>
  <si>
    <t>0.30</t>
  </si>
  <si>
    <t>Schedule+Cost</t>
  </si>
  <si>
    <t>T02,T05</t>
  </si>
  <si>
    <t>R002</t>
  </si>
  <si>
    <t>Lane closure permit delayed by city authority</t>
  </si>
  <si>
    <t>0.20</t>
  </si>
  <si>
    <t>Schedule</t>
  </si>
  <si>
    <t>T05,T06</t>
  </si>
  <si>
    <t>R003</t>
  </si>
  <si>
    <t>Wk2</t>
  </si>
  <si>
    <t>Material</t>
  </si>
  <si>
    <t>Gas pipe fittings delivered wrong spec</t>
  </si>
  <si>
    <t>0.15</t>
  </si>
  <si>
    <t>R004</t>
  </si>
  <si>
    <t>AM peak congestion caused equipment standby (2 hrs)</t>
  </si>
  <si>
    <t>0.40</t>
  </si>
  <si>
    <t>Cost</t>
  </si>
  <si>
    <t>T06,T07</t>
  </si>
  <si>
    <t>R005</t>
  </si>
  <si>
    <t>Equipment</t>
  </si>
  <si>
    <t>Milling machine hydraulic failure – 4hr downtime</t>
  </si>
  <si>
    <t>0.05</t>
  </si>
  <si>
    <t>R006</t>
  </si>
  <si>
    <t>Wk3</t>
  </si>
  <si>
    <t>Road diversion route overloaded; nearby signal failed</t>
  </si>
  <si>
    <t>0.25</t>
  </si>
  <si>
    <t>Traffic+Cost</t>
  </si>
  <si>
    <t>R007</t>
  </si>
  <si>
    <t>Rainfall halted paving for 1.5 days</t>
  </si>
  <si>
    <t>0.08</t>
  </si>
  <si>
    <t>T09,T10</t>
  </si>
  <si>
    <t>R008</t>
  </si>
  <si>
    <t>Crew absenteeism (illness) – 4 workers day off</t>
  </si>
  <si>
    <t>0.12</t>
  </si>
  <si>
    <t>R009</t>
  </si>
  <si>
    <t>Wk4</t>
  </si>
  <si>
    <t>Peak conflict – city event; corridor volume +45%</t>
  </si>
  <si>
    <t>0.10</t>
  </si>
  <si>
    <t>Traffic+Schedule</t>
  </si>
  <si>
    <t>T06,T13</t>
  </si>
  <si>
    <t>R010</t>
  </si>
  <si>
    <t>Aggregate delivery 1 day late (supplier OOS)</t>
  </si>
  <si>
    <t>T11,T12</t>
  </si>
  <si>
    <t>R011</t>
  </si>
  <si>
    <t>Heavy wind; crane ops suspended for 3 hrs</t>
  </si>
  <si>
    <t>R012</t>
  </si>
  <si>
    <t>AM peak 90-min blockage due to accident upstream</t>
  </si>
  <si>
    <t>T07,T08</t>
  </si>
  <si>
    <t>R013</t>
  </si>
  <si>
    <t>Wk5</t>
  </si>
  <si>
    <t>Compactor breakdown – 6 hrs repair</t>
  </si>
  <si>
    <t>R014</t>
  </si>
  <si>
    <t>Friday PM peak exceeded model by 28%</t>
  </si>
  <si>
    <t>R015</t>
  </si>
  <si>
    <t>Wk6</t>
  </si>
  <si>
    <t>Asphalt batch rejected by QC – reorder required</t>
  </si>
  <si>
    <t>T19,T20</t>
  </si>
  <si>
    <t>R016</t>
  </si>
  <si>
    <t>Subcontractor dispute – 2hr work stoppage</t>
  </si>
  <si>
    <t>R017</t>
  </si>
  <si>
    <t>Lane reopen partial – traffic rerouting confusion</t>
  </si>
  <si>
    <t>R018</t>
  </si>
  <si>
    <t>Wk7</t>
  </si>
  <si>
    <t>Light rain – asphalt paving delayed 4 hrs</t>
  </si>
  <si>
    <t>R019</t>
  </si>
  <si>
    <t>Peak PM shutdown required by traffic police</t>
  </si>
  <si>
    <t>R020</t>
  </si>
  <si>
    <t>Road marking permit clarification – 2hr delay</t>
  </si>
  <si>
    <t>R021</t>
  </si>
  <si>
    <t>Wk8</t>
  </si>
  <si>
    <t>QA</t>
  </si>
  <si>
    <t>Punch-list: 3 defects in road marking quality</t>
  </si>
  <si>
    <t>T22,T24</t>
  </si>
  <si>
    <t>R022</t>
  </si>
  <si>
    <t>Final inspection day – minor access conflict</t>
  </si>
  <si>
    <t>TRAFFIC PATTERN MATRIX – Structured Input for Scheduling Optimisation Model</t>
  </si>
  <si>
    <t>Key parameters: Delay Multiplier (DM) applied to task durations when scheduled during peak windows.  Peak AM = 07:00–09:00 | Peak PM = 17:00–19:00 | Off-peak DM = 1.0 baseline</t>
  </si>
  <si>
    <t>Time Slot</t>
  </si>
  <si>
    <t>Hour Range</t>
  </si>
  <si>
    <t>Avg DM</t>
  </si>
  <si>
    <t>Recommended
Work Window?</t>
  </si>
  <si>
    <t>Early Morning</t>
  </si>
  <si>
    <t>05:00–07:00</t>
  </si>
  <si>
    <t>Preferred</t>
  </si>
  <si>
    <t>AM Peak</t>
  </si>
  <si>
    <t>07:00–09:00</t>
  </si>
  <si>
    <t>AVOID</t>
  </si>
  <si>
    <t>AM Shoulder</t>
  </si>
  <si>
    <t>09:00–10:00</t>
  </si>
  <si>
    <t>Caution</t>
  </si>
  <si>
    <t>Midday</t>
  </si>
  <si>
    <t>10:00–12:00</t>
  </si>
  <si>
    <t>OK</t>
  </si>
  <si>
    <t>Lunch Peak</t>
  </si>
  <si>
    <t>12:00–13:00</t>
  </si>
  <si>
    <t>Afternoon</t>
  </si>
  <si>
    <t>13:00–16:00</t>
  </si>
  <si>
    <t>PM Shoulder</t>
  </si>
  <si>
    <t>16:00–17:00</t>
  </si>
  <si>
    <t>PM Peak</t>
  </si>
  <si>
    <t>17:00–19:00</t>
  </si>
  <si>
    <t>Evening</t>
  </si>
  <si>
    <t>19:00–21:00</t>
  </si>
  <si>
    <t>Night</t>
  </si>
  <si>
    <t>21:00–05:00</t>
  </si>
  <si>
    <t>INTERPRETATION: Delay Multiplier (DM) = ratio of actual task duration to planned when scheduled in this time window.  DM &gt; 1.5 = HIGH RISK | 1.2–1.5 = MODERATE | &lt; 1.2 = LOW. Use in optimisation as: actual_duration = planned_duration × DM(time_slot).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</si>
</sst>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\$#,##0"/>
    <numFmt numFmtId="165" formatCode="0.0%"/>
  </numFmts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1F3864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3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color rgb="FFC55A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color rgb="FFFFFFFF"/>
      <name val="Arial"/>
      <family val="2"/>
    </font>
    <font>
      <i/>
      <sz val="8"/>
      <name val="Arial"/>
      <family val="2"/>
    </font>
    <font>
      <b/>
      <sz val="12"/>
      <color rgb="FFFFFFFF"/>
      <name val="Arial"/>
      <family val="2"/>
    </font>
    <font>
      <b/>
      <sz val="9"/>
      <name val="Arial"/>
      <family val="2"/>
    </font>
    <font>
      <b/>
      <sz val="9"/>
      <color rgb="FF375623"/>
      <name val="Arial"/>
      <family val="2"/>
    </font>
    <font>
      <b/>
      <sz val="9"/>
      <color rgb="FFC55A11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2E5F8A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8" fillId="6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4" fontId="8" fillId="3" borderId="1" xfId="0" applyNumberFormat="1" applyFont="1" applyFill="1" applyBorder="1" applyAlignment="1">
      <alignment horizontal="left" vertical="center" wrapText="1"/>
    </xf>
    <xf numFmtId="0" fontId="11" fillId="8" borderId="1" xfId="0" applyFont="1" applyFill="1" applyBorder="1"/>
    <xf numFmtId="0" fontId="11" fillId="7" borderId="1" xfId="0" applyFont="1" applyFill="1" applyBorder="1"/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165" fontId="8" fillId="6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165" fontId="8" fillId="8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164" fontId="11" fillId="7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164" fontId="11" fillId="9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0" fillId="0" borderId="0" xfId="0" applyFont="1"/>
    <xf numFmtId="0" fontId="1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6" fontId="5" fillId="3" borderId="1" xfId="0" applyNumberFormat="1" applyFont="1" applyFill="1" applyBorder="1" applyAlignment="1">
      <alignment horizontal="left" vertical="center" wrapText="1"/>
    </xf>
    <xf numFmtId="6" fontId="5" fillId="6" borderId="1" xfId="0" applyNumberFormat="1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left" vertical="center" wrapText="1"/>
    </xf>
    <xf numFmtId="0" fontId="8" fillId="6" borderId="1" xfId="0" applyNumberFormat="1" applyFont="1" applyFill="1" applyBorder="1" applyAlignment="1">
      <alignment horizontal="center" vertical="center" wrapText="1"/>
    </xf>
    <xf numFmtId="0" fontId="8" fillId="7" borderId="1" xfId="0" applyNumberFormat="1" applyFont="1" applyFill="1" applyBorder="1" applyAlignment="1">
      <alignment horizontal="center" vertical="center" wrapText="1"/>
    </xf>
    <xf numFmtId="0" fontId="8" fillId="8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zoomScale="201" zoomScaleNormal="201" workbookViewId="0">
      <selection activeCell="D15" sqref="D15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4" customWidth="1"/>
    <col min="4" max="4" width="38" customWidth="1"/>
    <col min="5" max="5" width="28" customWidth="1"/>
    <col min="6" max="10" width="5" customWidth="1"/>
  </cols>
  <sheetData>
    <row r="1" spans="1:10" ht="35" customHeight="1" x14ac:dyDescent="0.2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4" customHeight="1" x14ac:dyDescent="0.2">
      <c r="A2" s="60" t="s">
        <v>1</v>
      </c>
      <c r="B2" s="58"/>
      <c r="C2" s="58"/>
      <c r="D2" s="58"/>
      <c r="E2" s="58"/>
      <c r="F2" s="58"/>
      <c r="G2" s="58"/>
      <c r="H2" s="58"/>
      <c r="I2" s="58"/>
      <c r="J2" s="58"/>
    </row>
    <row r="3" spans="1:10" ht="14" customHeight="1" x14ac:dyDescent="0.2"/>
    <row r="4" spans="1:10" ht="18" customHeight="1" x14ac:dyDescent="0.2">
      <c r="A4" s="59" t="s">
        <v>2</v>
      </c>
      <c r="B4" s="58"/>
      <c r="C4" s="58"/>
      <c r="D4" s="58"/>
      <c r="E4" s="58"/>
      <c r="F4" s="58"/>
      <c r="G4" s="58"/>
      <c r="H4" s="58"/>
      <c r="I4" s="58"/>
      <c r="J4" s="58"/>
    </row>
    <row r="5" spans="1:10" ht="16" customHeight="1" x14ac:dyDescent="0.2">
      <c r="A5" s="1" t="s">
        <v>3</v>
      </c>
      <c r="B5" s="1"/>
      <c r="D5" s="1" t="s">
        <v>4</v>
      </c>
      <c r="E5" s="1"/>
    </row>
    <row r="6" spans="1:10" ht="16" customHeight="1" x14ac:dyDescent="0.2">
      <c r="A6" s="2" t="s">
        <v>5</v>
      </c>
      <c r="B6" s="2" t="s">
        <v>6</v>
      </c>
      <c r="D6" s="2" t="s">
        <v>7</v>
      </c>
      <c r="E6" s="2" t="s">
        <v>8</v>
      </c>
    </row>
    <row r="7" spans="1:10" ht="16" customHeight="1" x14ac:dyDescent="0.2">
      <c r="A7" s="3" t="s">
        <v>9</v>
      </c>
      <c r="B7" s="3" t="s">
        <v>10</v>
      </c>
      <c r="D7" s="3" t="s">
        <v>11</v>
      </c>
      <c r="E7" s="3" t="s">
        <v>12</v>
      </c>
    </row>
    <row r="8" spans="1:10" ht="16" customHeight="1" x14ac:dyDescent="0.2">
      <c r="A8" s="2" t="s">
        <v>13</v>
      </c>
      <c r="B8" s="68">
        <v>40</v>
      </c>
      <c r="D8" s="2" t="s">
        <v>14</v>
      </c>
      <c r="E8" s="2" t="s">
        <v>15</v>
      </c>
    </row>
    <row r="9" spans="1:10" ht="16" customHeight="1" x14ac:dyDescent="0.2">
      <c r="A9" s="3" t="s">
        <v>16</v>
      </c>
      <c r="B9" s="3" t="s">
        <v>17</v>
      </c>
      <c r="D9" s="3" t="s">
        <v>18</v>
      </c>
      <c r="E9" s="3" t="s">
        <v>19</v>
      </c>
    </row>
    <row r="10" spans="1:10" ht="16" customHeight="1" x14ac:dyDescent="0.2">
      <c r="A10" s="2" t="s">
        <v>20</v>
      </c>
      <c r="B10" s="69">
        <v>4250000</v>
      </c>
      <c r="D10" s="2" t="s">
        <v>21</v>
      </c>
      <c r="E10" s="2" t="s">
        <v>22</v>
      </c>
    </row>
    <row r="11" spans="1:10" ht="16" customHeight="1" x14ac:dyDescent="0.2">
      <c r="A11" s="3" t="s">
        <v>23</v>
      </c>
      <c r="B11" s="70">
        <v>425000</v>
      </c>
      <c r="D11" s="3" t="s">
        <v>24</v>
      </c>
      <c r="E11" s="3" t="s">
        <v>25</v>
      </c>
    </row>
    <row r="12" spans="1:10" ht="16" customHeight="1" x14ac:dyDescent="0.2">
      <c r="A12" s="2" t="s">
        <v>26</v>
      </c>
      <c r="B12" s="2" t="s">
        <v>27</v>
      </c>
      <c r="D12" s="2" t="s">
        <v>28</v>
      </c>
      <c r="E12" s="2" t="s">
        <v>29</v>
      </c>
    </row>
    <row r="13" spans="1:10" ht="16" customHeight="1" x14ac:dyDescent="0.2">
      <c r="A13" s="3" t="s">
        <v>30</v>
      </c>
      <c r="B13" s="3" t="s">
        <v>31</v>
      </c>
      <c r="D13" s="3" t="s">
        <v>32</v>
      </c>
      <c r="E13" s="3" t="s">
        <v>33</v>
      </c>
    </row>
    <row r="14" spans="1:10" ht="16" customHeight="1" x14ac:dyDescent="0.2">
      <c r="A14" s="2" t="s">
        <v>34</v>
      </c>
      <c r="B14" s="2" t="s">
        <v>35</v>
      </c>
      <c r="D14" s="2" t="s">
        <v>36</v>
      </c>
      <c r="E14" s="71">
        <v>10000</v>
      </c>
    </row>
    <row r="15" spans="1:10" ht="14" customHeight="1" x14ac:dyDescent="0.2"/>
    <row r="16" spans="1:10" ht="14" customHeight="1" x14ac:dyDescent="0.2"/>
    <row r="17" ht="14" customHeight="1" x14ac:dyDescent="0.2"/>
    <row r="18" ht="14" customHeight="1" x14ac:dyDescent="0.2"/>
    <row r="19" ht="14" customHeight="1" x14ac:dyDescent="0.2"/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showGridLines="0" topLeftCell="H1" zoomScale="211" zoomScaleNormal="211" workbookViewId="0">
      <selection activeCell="G9" sqref="G9"/>
    </sheetView>
  </sheetViews>
  <sheetFormatPr baseColWidth="10" defaultColWidth="8.83203125" defaultRowHeight="15" x14ac:dyDescent="0.2"/>
  <cols>
    <col min="1" max="2" width="7" customWidth="1"/>
    <col min="3" max="3" width="28" customWidth="1"/>
    <col min="4" max="4" width="14" customWidth="1"/>
    <col min="5" max="5" width="18" customWidth="1"/>
    <col min="6" max="6" width="6" customWidth="1"/>
    <col min="7" max="8" width="13" customWidth="1"/>
    <col min="9" max="9" width="10" customWidth="1"/>
    <col min="10" max="11" width="13" customWidth="1"/>
    <col min="12" max="12" width="10" customWidth="1"/>
    <col min="13" max="13" width="8" customWidth="1"/>
    <col min="14" max="14" width="22" customWidth="1"/>
    <col min="15" max="15" width="10" customWidth="1"/>
    <col min="16" max="16" width="14" customWidth="1"/>
  </cols>
  <sheetData>
    <row r="1" spans="1:16" ht="28" customHeight="1" x14ac:dyDescent="0.2">
      <c r="A1" s="61" t="s">
        <v>37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ht="30" customHeight="1" x14ac:dyDescent="0.2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</row>
    <row r="3" spans="1:16" ht="16" customHeight="1" x14ac:dyDescent="0.2">
      <c r="A3" s="5" t="s">
        <v>54</v>
      </c>
      <c r="B3" s="72">
        <v>1</v>
      </c>
      <c r="C3" s="6" t="s">
        <v>55</v>
      </c>
      <c r="D3" s="6" t="s">
        <v>56</v>
      </c>
      <c r="E3" s="6" t="s">
        <v>57</v>
      </c>
      <c r="F3" s="5">
        <v>8</v>
      </c>
      <c r="G3" s="5" t="s">
        <v>6</v>
      </c>
      <c r="H3" s="5" t="s">
        <v>58</v>
      </c>
      <c r="I3" s="5">
        <v>3</v>
      </c>
      <c r="J3" s="5" t="s">
        <v>6</v>
      </c>
      <c r="K3" s="5" t="s">
        <v>58</v>
      </c>
      <c r="L3" s="5">
        <v>3</v>
      </c>
      <c r="M3" s="5">
        <v>0</v>
      </c>
      <c r="N3" s="6" t="s">
        <v>56</v>
      </c>
      <c r="O3" s="5" t="s">
        <v>59</v>
      </c>
      <c r="P3" s="7">
        <v>15600</v>
      </c>
    </row>
    <row r="4" spans="1:16" ht="16" customHeight="1" x14ac:dyDescent="0.2">
      <c r="A4" s="8" t="s">
        <v>60</v>
      </c>
      <c r="B4" s="73">
        <v>2</v>
      </c>
      <c r="C4" s="9" t="s">
        <v>61</v>
      </c>
      <c r="D4" s="9" t="s">
        <v>54</v>
      </c>
      <c r="E4" s="9" t="s">
        <v>62</v>
      </c>
      <c r="F4" s="8">
        <v>4</v>
      </c>
      <c r="G4" s="8" t="s">
        <v>63</v>
      </c>
      <c r="H4" s="8" t="s">
        <v>64</v>
      </c>
      <c r="I4" s="8">
        <v>2</v>
      </c>
      <c r="J4" s="8" t="s">
        <v>63</v>
      </c>
      <c r="K4" s="8" t="s">
        <v>65</v>
      </c>
      <c r="L4" s="8">
        <v>3</v>
      </c>
      <c r="M4" s="10">
        <v>1</v>
      </c>
      <c r="N4" s="9" t="s">
        <v>66</v>
      </c>
      <c r="O4" s="8" t="s">
        <v>67</v>
      </c>
      <c r="P4" s="11">
        <v>6800</v>
      </c>
    </row>
    <row r="5" spans="1:16" ht="16" customHeight="1" x14ac:dyDescent="0.2">
      <c r="A5" s="12" t="s">
        <v>68</v>
      </c>
      <c r="B5" s="74">
        <v>2.1</v>
      </c>
      <c r="C5" s="13" t="s">
        <v>69</v>
      </c>
      <c r="D5" s="13" t="s">
        <v>60</v>
      </c>
      <c r="E5" s="13" t="s">
        <v>70</v>
      </c>
      <c r="F5" s="12">
        <v>6</v>
      </c>
      <c r="G5" s="12" t="s">
        <v>65</v>
      </c>
      <c r="H5" s="12" t="s">
        <v>71</v>
      </c>
      <c r="I5" s="12">
        <v>5</v>
      </c>
      <c r="J5" s="12" t="s">
        <v>65</v>
      </c>
      <c r="K5" s="12" t="s">
        <v>72</v>
      </c>
      <c r="L5" s="12">
        <v>7</v>
      </c>
      <c r="M5" s="14">
        <v>2</v>
      </c>
      <c r="N5" s="13" t="s">
        <v>73</v>
      </c>
      <c r="O5" s="12" t="s">
        <v>74</v>
      </c>
      <c r="P5" s="15">
        <v>36000</v>
      </c>
    </row>
    <row r="6" spans="1:16" ht="16" customHeight="1" x14ac:dyDescent="0.2">
      <c r="A6" s="16" t="s">
        <v>75</v>
      </c>
      <c r="B6" s="75">
        <v>2.2000000000000002</v>
      </c>
      <c r="C6" s="17" t="s">
        <v>76</v>
      </c>
      <c r="D6" s="17" t="s">
        <v>60</v>
      </c>
      <c r="E6" s="17" t="s">
        <v>70</v>
      </c>
      <c r="F6" s="16">
        <v>5</v>
      </c>
      <c r="G6" s="16" t="s">
        <v>65</v>
      </c>
      <c r="H6" s="16" t="s">
        <v>77</v>
      </c>
      <c r="I6" s="16">
        <v>4</v>
      </c>
      <c r="J6" s="16" t="s">
        <v>65</v>
      </c>
      <c r="K6" s="16" t="s">
        <v>77</v>
      </c>
      <c r="L6" s="16">
        <v>4</v>
      </c>
      <c r="M6" s="16">
        <v>0</v>
      </c>
      <c r="N6" s="17" t="s">
        <v>56</v>
      </c>
      <c r="O6" s="16" t="s">
        <v>67</v>
      </c>
      <c r="P6" s="18">
        <v>24000</v>
      </c>
    </row>
    <row r="7" spans="1:16" ht="16" customHeight="1" x14ac:dyDescent="0.2">
      <c r="A7" s="8" t="s">
        <v>78</v>
      </c>
      <c r="B7" s="73">
        <v>3</v>
      </c>
      <c r="C7" s="9" t="s">
        <v>79</v>
      </c>
      <c r="D7" s="9" t="s">
        <v>54</v>
      </c>
      <c r="E7" s="9" t="s">
        <v>80</v>
      </c>
      <c r="F7" s="8">
        <v>6</v>
      </c>
      <c r="G7" s="8" t="s">
        <v>63</v>
      </c>
      <c r="H7" s="8" t="s">
        <v>64</v>
      </c>
      <c r="I7" s="8">
        <v>2</v>
      </c>
      <c r="J7" s="8" t="s">
        <v>63</v>
      </c>
      <c r="K7" s="8" t="s">
        <v>65</v>
      </c>
      <c r="L7" s="8">
        <v>3</v>
      </c>
      <c r="M7" s="10">
        <v>1</v>
      </c>
      <c r="N7" s="9" t="s">
        <v>81</v>
      </c>
      <c r="O7" s="8" t="s">
        <v>74</v>
      </c>
      <c r="P7" s="11">
        <v>9000</v>
      </c>
    </row>
    <row r="8" spans="1:16" ht="16" customHeight="1" x14ac:dyDescent="0.2">
      <c r="A8" s="12" t="s">
        <v>82</v>
      </c>
      <c r="B8" s="74">
        <v>3.1</v>
      </c>
      <c r="C8" s="13" t="s">
        <v>83</v>
      </c>
      <c r="D8" s="13" t="s">
        <v>78</v>
      </c>
      <c r="E8" s="13" t="s">
        <v>80</v>
      </c>
      <c r="F8" s="12">
        <v>4</v>
      </c>
      <c r="G8" s="12" t="s">
        <v>65</v>
      </c>
      <c r="H8" s="12" t="s">
        <v>84</v>
      </c>
      <c r="I8" s="12">
        <v>10</v>
      </c>
      <c r="J8" s="12" t="s">
        <v>65</v>
      </c>
      <c r="K8" s="12" t="s">
        <v>85</v>
      </c>
      <c r="L8" s="12">
        <v>13</v>
      </c>
      <c r="M8" s="14">
        <v>3</v>
      </c>
      <c r="N8" s="13" t="s">
        <v>86</v>
      </c>
      <c r="O8" s="12" t="s">
        <v>74</v>
      </c>
      <c r="P8" s="15">
        <v>30000</v>
      </c>
    </row>
    <row r="9" spans="1:16" ht="16" customHeight="1" x14ac:dyDescent="0.2">
      <c r="A9" s="8" t="s">
        <v>87</v>
      </c>
      <c r="B9" s="73">
        <v>4</v>
      </c>
      <c r="C9" s="9" t="s">
        <v>88</v>
      </c>
      <c r="D9" s="9" t="s">
        <v>82</v>
      </c>
      <c r="E9" s="9" t="s">
        <v>89</v>
      </c>
      <c r="F9" s="8">
        <v>5</v>
      </c>
      <c r="G9" s="8" t="s">
        <v>77</v>
      </c>
      <c r="H9" s="8" t="s">
        <v>72</v>
      </c>
      <c r="I9" s="8">
        <v>4</v>
      </c>
      <c r="J9" s="8" t="s">
        <v>77</v>
      </c>
      <c r="K9" s="8" t="s">
        <v>90</v>
      </c>
      <c r="L9" s="8">
        <v>5</v>
      </c>
      <c r="M9" s="10">
        <v>1</v>
      </c>
      <c r="N9" s="9" t="s">
        <v>91</v>
      </c>
      <c r="O9" s="8" t="s">
        <v>74</v>
      </c>
      <c r="P9" s="11">
        <v>48000</v>
      </c>
    </row>
    <row r="10" spans="1:16" ht="16" customHeight="1" x14ac:dyDescent="0.2">
      <c r="A10" s="16" t="s">
        <v>92</v>
      </c>
      <c r="B10" s="75">
        <v>4.0999999999999996</v>
      </c>
      <c r="C10" s="17" t="s">
        <v>93</v>
      </c>
      <c r="D10" s="17" t="s">
        <v>87</v>
      </c>
      <c r="E10" s="17" t="s">
        <v>89</v>
      </c>
      <c r="F10" s="16">
        <v>5</v>
      </c>
      <c r="G10" s="16" t="s">
        <v>90</v>
      </c>
      <c r="H10" s="16" t="s">
        <v>94</v>
      </c>
      <c r="I10" s="16">
        <v>4</v>
      </c>
      <c r="J10" s="16" t="s">
        <v>90</v>
      </c>
      <c r="K10" s="16" t="s">
        <v>94</v>
      </c>
      <c r="L10" s="16">
        <v>4</v>
      </c>
      <c r="M10" s="16">
        <v>0</v>
      </c>
      <c r="N10" s="17" t="s">
        <v>56</v>
      </c>
      <c r="O10" s="16" t="s">
        <v>74</v>
      </c>
      <c r="P10" s="18">
        <v>48000</v>
      </c>
    </row>
    <row r="11" spans="1:16" ht="16" customHeight="1" x14ac:dyDescent="0.2">
      <c r="A11" s="12" t="s">
        <v>95</v>
      </c>
      <c r="B11" s="74">
        <v>4.2</v>
      </c>
      <c r="C11" s="13" t="s">
        <v>96</v>
      </c>
      <c r="D11" s="13" t="s">
        <v>92</v>
      </c>
      <c r="E11" s="13" t="s">
        <v>89</v>
      </c>
      <c r="F11" s="12">
        <v>5</v>
      </c>
      <c r="G11" s="12" t="s">
        <v>97</v>
      </c>
      <c r="H11" s="12" t="s">
        <v>98</v>
      </c>
      <c r="I11" s="12">
        <v>4</v>
      </c>
      <c r="J11" s="12" t="s">
        <v>97</v>
      </c>
      <c r="K11" s="12" t="s">
        <v>99</v>
      </c>
      <c r="L11" s="12">
        <v>6</v>
      </c>
      <c r="M11" s="14">
        <v>2</v>
      </c>
      <c r="N11" s="13" t="s">
        <v>100</v>
      </c>
      <c r="O11" s="12" t="s">
        <v>67</v>
      </c>
      <c r="P11" s="15">
        <v>48000</v>
      </c>
    </row>
    <row r="12" spans="1:16" ht="16" customHeight="1" x14ac:dyDescent="0.2">
      <c r="A12" s="8" t="s">
        <v>101</v>
      </c>
      <c r="B12" s="73">
        <v>5</v>
      </c>
      <c r="C12" s="9" t="s">
        <v>102</v>
      </c>
      <c r="D12" s="9" t="s">
        <v>87</v>
      </c>
      <c r="E12" s="9" t="s">
        <v>103</v>
      </c>
      <c r="F12" s="8">
        <v>7</v>
      </c>
      <c r="G12" s="8" t="s">
        <v>90</v>
      </c>
      <c r="H12" s="8" t="s">
        <v>97</v>
      </c>
      <c r="I12" s="8">
        <v>5</v>
      </c>
      <c r="J12" s="8" t="s">
        <v>90</v>
      </c>
      <c r="K12" s="8" t="s">
        <v>85</v>
      </c>
      <c r="L12" s="8">
        <v>6</v>
      </c>
      <c r="M12" s="10">
        <v>1</v>
      </c>
      <c r="N12" s="9" t="s">
        <v>66</v>
      </c>
      <c r="O12" s="8" t="s">
        <v>67</v>
      </c>
      <c r="P12" s="11">
        <v>31500</v>
      </c>
    </row>
    <row r="13" spans="1:16" ht="16" customHeight="1" x14ac:dyDescent="0.2">
      <c r="A13" s="5" t="s">
        <v>104</v>
      </c>
      <c r="B13" s="72">
        <v>5.0999999999999996</v>
      </c>
      <c r="C13" s="6" t="s">
        <v>105</v>
      </c>
      <c r="D13" s="6" t="s">
        <v>101</v>
      </c>
      <c r="E13" s="6" t="s">
        <v>103</v>
      </c>
      <c r="F13" s="5">
        <v>7</v>
      </c>
      <c r="G13" s="5" t="s">
        <v>85</v>
      </c>
      <c r="H13" s="5" t="s">
        <v>99</v>
      </c>
      <c r="I13" s="5">
        <v>5</v>
      </c>
      <c r="J13" s="5" t="s">
        <v>85</v>
      </c>
      <c r="K13" s="5" t="s">
        <v>99</v>
      </c>
      <c r="L13" s="5">
        <v>5</v>
      </c>
      <c r="M13" s="5">
        <v>0</v>
      </c>
      <c r="N13" s="6" t="s">
        <v>56</v>
      </c>
      <c r="O13" s="5" t="s">
        <v>67</v>
      </c>
      <c r="P13" s="7">
        <v>31500</v>
      </c>
    </row>
    <row r="14" spans="1:16" ht="16" customHeight="1" x14ac:dyDescent="0.2">
      <c r="A14" s="12" t="s">
        <v>106</v>
      </c>
      <c r="B14" s="74">
        <v>5.2</v>
      </c>
      <c r="C14" s="13" t="s">
        <v>107</v>
      </c>
      <c r="D14" s="13" t="s">
        <v>104</v>
      </c>
      <c r="E14" s="13" t="s">
        <v>103</v>
      </c>
      <c r="F14" s="12">
        <v>7</v>
      </c>
      <c r="G14" s="12" t="s">
        <v>108</v>
      </c>
      <c r="H14" s="12" t="s">
        <v>109</v>
      </c>
      <c r="I14" s="12">
        <v>5</v>
      </c>
      <c r="J14" s="12" t="s">
        <v>108</v>
      </c>
      <c r="K14" s="12" t="s">
        <v>110</v>
      </c>
      <c r="L14" s="12">
        <v>7</v>
      </c>
      <c r="M14" s="14">
        <v>2</v>
      </c>
      <c r="N14" s="13" t="s">
        <v>73</v>
      </c>
      <c r="O14" s="12" t="s">
        <v>59</v>
      </c>
      <c r="P14" s="15">
        <v>31500</v>
      </c>
    </row>
    <row r="15" spans="1:16" ht="16" customHeight="1" x14ac:dyDescent="0.2">
      <c r="A15" s="8" t="s">
        <v>111</v>
      </c>
      <c r="B15" s="73">
        <v>6</v>
      </c>
      <c r="C15" s="9" t="s">
        <v>112</v>
      </c>
      <c r="D15" s="9" t="s">
        <v>101</v>
      </c>
      <c r="E15" s="9" t="s">
        <v>70</v>
      </c>
      <c r="F15" s="8">
        <v>5</v>
      </c>
      <c r="G15" s="8" t="s">
        <v>85</v>
      </c>
      <c r="H15" s="8" t="s">
        <v>108</v>
      </c>
      <c r="I15" s="8">
        <v>6</v>
      </c>
      <c r="J15" s="8" t="s">
        <v>85</v>
      </c>
      <c r="K15" s="8" t="s">
        <v>113</v>
      </c>
      <c r="L15" s="8">
        <v>7</v>
      </c>
      <c r="M15" s="10">
        <v>1</v>
      </c>
      <c r="N15" s="9" t="s">
        <v>114</v>
      </c>
      <c r="O15" s="8" t="s">
        <v>74</v>
      </c>
      <c r="P15" s="11">
        <v>36000</v>
      </c>
    </row>
    <row r="16" spans="1:16" ht="16" customHeight="1" x14ac:dyDescent="0.2">
      <c r="A16" s="16" t="s">
        <v>115</v>
      </c>
      <c r="B16" s="75">
        <v>6.1</v>
      </c>
      <c r="C16" s="17" t="s">
        <v>116</v>
      </c>
      <c r="D16" s="17" t="s">
        <v>111</v>
      </c>
      <c r="E16" s="17" t="s">
        <v>70</v>
      </c>
      <c r="F16" s="16">
        <v>5</v>
      </c>
      <c r="G16" s="16" t="s">
        <v>113</v>
      </c>
      <c r="H16" s="16" t="s">
        <v>110</v>
      </c>
      <c r="I16" s="16">
        <v>6</v>
      </c>
      <c r="J16" s="16" t="s">
        <v>113</v>
      </c>
      <c r="K16" s="16" t="s">
        <v>110</v>
      </c>
      <c r="L16" s="16">
        <v>6</v>
      </c>
      <c r="M16" s="16">
        <v>0</v>
      </c>
      <c r="N16" s="17" t="s">
        <v>56</v>
      </c>
      <c r="O16" s="16" t="s">
        <v>67</v>
      </c>
      <c r="P16" s="18">
        <v>36000</v>
      </c>
    </row>
    <row r="17" spans="1:16" ht="16" customHeight="1" x14ac:dyDescent="0.2">
      <c r="A17" s="12" t="s">
        <v>117</v>
      </c>
      <c r="B17" s="74">
        <v>6.2</v>
      </c>
      <c r="C17" s="13" t="s">
        <v>118</v>
      </c>
      <c r="D17" s="13" t="s">
        <v>115</v>
      </c>
      <c r="E17" s="13" t="s">
        <v>70</v>
      </c>
      <c r="F17" s="12">
        <v>5</v>
      </c>
      <c r="G17" s="12" t="s">
        <v>119</v>
      </c>
      <c r="H17" s="12" t="s">
        <v>120</v>
      </c>
      <c r="I17" s="12">
        <v>5</v>
      </c>
      <c r="J17" s="12" t="s">
        <v>119</v>
      </c>
      <c r="K17" s="12" t="s">
        <v>121</v>
      </c>
      <c r="L17" s="12">
        <v>8</v>
      </c>
      <c r="M17" s="14">
        <v>3</v>
      </c>
      <c r="N17" s="13" t="s">
        <v>91</v>
      </c>
      <c r="O17" s="12" t="s">
        <v>67</v>
      </c>
      <c r="P17" s="15">
        <v>30000</v>
      </c>
    </row>
    <row r="18" spans="1:16" ht="16" customHeight="1" x14ac:dyDescent="0.2">
      <c r="A18" s="16" t="s">
        <v>122</v>
      </c>
      <c r="B18" s="75">
        <v>7</v>
      </c>
      <c r="C18" s="17" t="s">
        <v>123</v>
      </c>
      <c r="D18" s="17" t="s">
        <v>111</v>
      </c>
      <c r="E18" s="17" t="s">
        <v>124</v>
      </c>
      <c r="F18" s="16">
        <v>8</v>
      </c>
      <c r="G18" s="16" t="s">
        <v>113</v>
      </c>
      <c r="H18" s="16" t="s">
        <v>109</v>
      </c>
      <c r="I18" s="16">
        <v>4</v>
      </c>
      <c r="J18" s="16" t="s">
        <v>113</v>
      </c>
      <c r="K18" s="16" t="s">
        <v>109</v>
      </c>
      <c r="L18" s="16">
        <v>4</v>
      </c>
      <c r="M18" s="16">
        <v>0</v>
      </c>
      <c r="N18" s="17" t="s">
        <v>56</v>
      </c>
      <c r="O18" s="16" t="s">
        <v>74</v>
      </c>
      <c r="P18" s="18">
        <v>35200</v>
      </c>
    </row>
    <row r="19" spans="1:16" ht="16" customHeight="1" x14ac:dyDescent="0.2">
      <c r="A19" s="8" t="s">
        <v>125</v>
      </c>
      <c r="B19" s="73">
        <v>7.1</v>
      </c>
      <c r="C19" s="9" t="s">
        <v>126</v>
      </c>
      <c r="D19" s="9" t="s">
        <v>122</v>
      </c>
      <c r="E19" s="9" t="s">
        <v>124</v>
      </c>
      <c r="F19" s="8">
        <v>8</v>
      </c>
      <c r="G19" s="8" t="s">
        <v>127</v>
      </c>
      <c r="H19" s="8" t="s">
        <v>128</v>
      </c>
      <c r="I19" s="8">
        <v>4</v>
      </c>
      <c r="J19" s="8" t="s">
        <v>127</v>
      </c>
      <c r="K19" s="8" t="s">
        <v>129</v>
      </c>
      <c r="L19" s="8">
        <v>5</v>
      </c>
      <c r="M19" s="10">
        <v>1</v>
      </c>
      <c r="N19" s="9" t="s">
        <v>66</v>
      </c>
      <c r="O19" s="8" t="s">
        <v>74</v>
      </c>
      <c r="P19" s="11">
        <v>35200</v>
      </c>
    </row>
    <row r="20" spans="1:16" ht="16" customHeight="1" x14ac:dyDescent="0.2">
      <c r="A20" s="12" t="s">
        <v>130</v>
      </c>
      <c r="B20" s="74">
        <v>7.2</v>
      </c>
      <c r="C20" s="13" t="s">
        <v>131</v>
      </c>
      <c r="D20" s="13" t="s">
        <v>125</v>
      </c>
      <c r="E20" s="13" t="s">
        <v>124</v>
      </c>
      <c r="F20" s="12">
        <v>8</v>
      </c>
      <c r="G20" s="12" t="s">
        <v>129</v>
      </c>
      <c r="H20" s="12" t="s">
        <v>132</v>
      </c>
      <c r="I20" s="12">
        <v>4</v>
      </c>
      <c r="J20" s="12" t="s">
        <v>129</v>
      </c>
      <c r="K20" s="12" t="s">
        <v>121</v>
      </c>
      <c r="L20" s="12">
        <v>6</v>
      </c>
      <c r="M20" s="14">
        <v>2</v>
      </c>
      <c r="N20" s="13" t="s">
        <v>133</v>
      </c>
      <c r="O20" s="12" t="s">
        <v>74</v>
      </c>
      <c r="P20" s="15">
        <v>35200</v>
      </c>
    </row>
    <row r="21" spans="1:16" ht="16" customHeight="1" x14ac:dyDescent="0.2">
      <c r="A21" s="5" t="s">
        <v>134</v>
      </c>
      <c r="B21" s="72">
        <v>8</v>
      </c>
      <c r="C21" s="6" t="s">
        <v>135</v>
      </c>
      <c r="D21" s="6" t="s">
        <v>122</v>
      </c>
      <c r="E21" s="6" t="s">
        <v>136</v>
      </c>
      <c r="F21" s="5">
        <v>10</v>
      </c>
      <c r="G21" s="5" t="s">
        <v>127</v>
      </c>
      <c r="H21" s="5" t="s">
        <v>119</v>
      </c>
      <c r="I21" s="5">
        <v>3</v>
      </c>
      <c r="J21" s="5" t="s">
        <v>127</v>
      </c>
      <c r="K21" s="5" t="s">
        <v>119</v>
      </c>
      <c r="L21" s="5">
        <v>3</v>
      </c>
      <c r="M21" s="5">
        <v>0</v>
      </c>
      <c r="N21" s="6" t="s">
        <v>56</v>
      </c>
      <c r="O21" s="5" t="s">
        <v>74</v>
      </c>
      <c r="P21" s="7">
        <v>39000</v>
      </c>
    </row>
    <row r="22" spans="1:16" ht="16" customHeight="1" x14ac:dyDescent="0.2">
      <c r="A22" s="8" t="s">
        <v>137</v>
      </c>
      <c r="B22" s="73">
        <v>8.1</v>
      </c>
      <c r="C22" s="9" t="s">
        <v>138</v>
      </c>
      <c r="D22" s="9" t="s">
        <v>134</v>
      </c>
      <c r="E22" s="9" t="s">
        <v>136</v>
      </c>
      <c r="F22" s="8">
        <v>10</v>
      </c>
      <c r="G22" s="8" t="s">
        <v>128</v>
      </c>
      <c r="H22" s="8" t="s">
        <v>139</v>
      </c>
      <c r="I22" s="8">
        <v>3</v>
      </c>
      <c r="J22" s="8" t="s">
        <v>128</v>
      </c>
      <c r="K22" s="8" t="s">
        <v>120</v>
      </c>
      <c r="L22" s="8">
        <v>4</v>
      </c>
      <c r="M22" s="10">
        <v>1</v>
      </c>
      <c r="N22" s="9" t="s">
        <v>140</v>
      </c>
      <c r="O22" s="8" t="s">
        <v>74</v>
      </c>
      <c r="P22" s="11">
        <v>39000</v>
      </c>
    </row>
    <row r="23" spans="1:16" ht="16" customHeight="1" x14ac:dyDescent="0.2">
      <c r="A23" s="12" t="s">
        <v>141</v>
      </c>
      <c r="B23" s="74">
        <v>8.1999999999999993</v>
      </c>
      <c r="C23" s="13" t="s">
        <v>142</v>
      </c>
      <c r="D23" s="13" t="s">
        <v>137</v>
      </c>
      <c r="E23" s="13" t="s">
        <v>136</v>
      </c>
      <c r="F23" s="12">
        <v>10</v>
      </c>
      <c r="G23" s="12" t="s">
        <v>120</v>
      </c>
      <c r="H23" s="12" t="s">
        <v>143</v>
      </c>
      <c r="I23" s="12">
        <v>3</v>
      </c>
      <c r="J23" s="12" t="s">
        <v>120</v>
      </c>
      <c r="K23" s="12" t="s">
        <v>144</v>
      </c>
      <c r="L23" s="12">
        <v>5</v>
      </c>
      <c r="M23" s="14">
        <v>2</v>
      </c>
      <c r="N23" s="13" t="s">
        <v>145</v>
      </c>
      <c r="O23" s="12" t="s">
        <v>74</v>
      </c>
      <c r="P23" s="15">
        <v>39000</v>
      </c>
    </row>
    <row r="24" spans="1:16" ht="16" customHeight="1" x14ac:dyDescent="0.2">
      <c r="A24" s="8" t="s">
        <v>146</v>
      </c>
      <c r="B24" s="73">
        <v>9</v>
      </c>
      <c r="C24" s="9" t="s">
        <v>147</v>
      </c>
      <c r="D24" s="9" t="s">
        <v>141</v>
      </c>
      <c r="E24" s="9" t="s">
        <v>70</v>
      </c>
      <c r="F24" s="8">
        <v>5</v>
      </c>
      <c r="G24" s="8" t="s">
        <v>121</v>
      </c>
      <c r="H24" s="8" t="s">
        <v>148</v>
      </c>
      <c r="I24" s="8">
        <v>3</v>
      </c>
      <c r="J24" s="8" t="s">
        <v>121</v>
      </c>
      <c r="K24" s="8" t="s">
        <v>149</v>
      </c>
      <c r="L24" s="8">
        <v>4</v>
      </c>
      <c r="M24" s="10">
        <v>1</v>
      </c>
      <c r="N24" s="9" t="s">
        <v>150</v>
      </c>
      <c r="O24" s="8" t="s">
        <v>67</v>
      </c>
      <c r="P24" s="11">
        <v>18000</v>
      </c>
    </row>
    <row r="25" spans="1:16" ht="16" customHeight="1" x14ac:dyDescent="0.2">
      <c r="A25" s="5" t="s">
        <v>151</v>
      </c>
      <c r="B25" s="72">
        <v>9.1</v>
      </c>
      <c r="C25" s="6" t="s">
        <v>152</v>
      </c>
      <c r="D25" s="6" t="s">
        <v>146</v>
      </c>
      <c r="E25" s="6" t="s">
        <v>57</v>
      </c>
      <c r="F25" s="5">
        <v>6</v>
      </c>
      <c r="G25" s="5" t="s">
        <v>149</v>
      </c>
      <c r="H25" s="5" t="s">
        <v>149</v>
      </c>
      <c r="I25" s="5">
        <v>2</v>
      </c>
      <c r="J25" s="5" t="s">
        <v>149</v>
      </c>
      <c r="K25" s="5" t="s">
        <v>149</v>
      </c>
      <c r="L25" s="5">
        <v>2</v>
      </c>
      <c r="M25" s="5">
        <v>0</v>
      </c>
      <c r="N25" s="6" t="s">
        <v>56</v>
      </c>
      <c r="O25" s="5" t="s">
        <v>59</v>
      </c>
      <c r="P25" s="7">
        <v>7800</v>
      </c>
    </row>
    <row r="26" spans="1:16" ht="16" customHeight="1" x14ac:dyDescent="0.2">
      <c r="A26" s="8" t="s">
        <v>153</v>
      </c>
      <c r="B26" s="73">
        <v>10</v>
      </c>
      <c r="C26" s="9" t="s">
        <v>154</v>
      </c>
      <c r="D26" s="9" t="s">
        <v>155</v>
      </c>
      <c r="E26" s="9" t="s">
        <v>156</v>
      </c>
      <c r="F26" s="8">
        <v>4</v>
      </c>
      <c r="G26" s="8" t="s">
        <v>148</v>
      </c>
      <c r="H26" s="8" t="s">
        <v>149</v>
      </c>
      <c r="I26" s="8">
        <v>2</v>
      </c>
      <c r="J26" s="8" t="s">
        <v>148</v>
      </c>
      <c r="K26" s="8" t="s">
        <v>149</v>
      </c>
      <c r="L26" s="8">
        <v>3</v>
      </c>
      <c r="M26" s="10">
        <v>1</v>
      </c>
      <c r="N26" s="9" t="s">
        <v>157</v>
      </c>
      <c r="O26" s="8" t="s">
        <v>59</v>
      </c>
      <c r="P26" s="11">
        <v>7600</v>
      </c>
    </row>
    <row r="28" spans="1:16" x14ac:dyDescent="0.2">
      <c r="A28" s="62" t="s">
        <v>158</v>
      </c>
      <c r="B28" s="58"/>
      <c r="C28" s="58"/>
      <c r="D28" s="58"/>
    </row>
    <row r="29" spans="1:16" x14ac:dyDescent="0.2">
      <c r="A29" s="19" t="s">
        <v>159</v>
      </c>
      <c r="B29" s="20" t="s">
        <v>160</v>
      </c>
      <c r="C29" s="21" t="s">
        <v>161</v>
      </c>
    </row>
  </sheetData>
  <mergeCells count="2">
    <mergeCell ref="A1:P1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"/>
  <sheetViews>
    <sheetView showGridLines="0" topLeftCell="A32" zoomScale="180" zoomScaleNormal="180" workbookViewId="0">
      <selection sqref="A1:N1"/>
    </sheetView>
  </sheetViews>
  <sheetFormatPr baseColWidth="10" defaultColWidth="8.83203125" defaultRowHeight="15" x14ac:dyDescent="0.2"/>
  <cols>
    <col min="1" max="1" width="5" customWidth="1"/>
    <col min="2" max="2" width="13" customWidth="1"/>
    <col min="3" max="3" width="8" customWidth="1"/>
    <col min="4" max="4" width="11" customWidth="1"/>
    <col min="5" max="7" width="10" customWidth="1"/>
    <col min="8" max="8" width="9" customWidth="1"/>
    <col min="9" max="11" width="10" customWidth="1"/>
    <col min="12" max="12" width="9" customWidth="1"/>
    <col min="13" max="13" width="10" customWidth="1"/>
    <col min="14" max="14" width="13" customWidth="1"/>
  </cols>
  <sheetData>
    <row r="1" spans="1:14" ht="28" customHeight="1" x14ac:dyDescent="0.2">
      <c r="A1" s="61" t="s">
        <v>162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ht="30" customHeight="1" x14ac:dyDescent="0.2">
      <c r="A2" s="4" t="s">
        <v>163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168</v>
      </c>
      <c r="G2" s="4" t="s">
        <v>169</v>
      </c>
      <c r="H2" s="4" t="s">
        <v>170</v>
      </c>
      <c r="I2" s="4" t="s">
        <v>171</v>
      </c>
      <c r="J2" s="4" t="s">
        <v>172</v>
      </c>
      <c r="K2" s="4" t="s">
        <v>173</v>
      </c>
      <c r="L2" s="4" t="s">
        <v>174</v>
      </c>
      <c r="M2" s="4" t="s">
        <v>175</v>
      </c>
      <c r="N2" s="4" t="s">
        <v>176</v>
      </c>
    </row>
    <row r="3" spans="1:14" ht="14" customHeight="1" x14ac:dyDescent="0.2">
      <c r="A3" s="22">
        <v>1</v>
      </c>
      <c r="B3" s="22" t="s">
        <v>6</v>
      </c>
      <c r="C3" s="22" t="s">
        <v>177</v>
      </c>
      <c r="D3" s="22" t="s">
        <v>178</v>
      </c>
      <c r="E3" s="22">
        <v>1</v>
      </c>
      <c r="F3" s="22">
        <v>12</v>
      </c>
      <c r="G3" s="22">
        <v>12</v>
      </c>
      <c r="H3" s="22" t="s">
        <v>179</v>
      </c>
      <c r="I3" s="22">
        <v>2</v>
      </c>
      <c r="J3" s="22" t="s">
        <v>180</v>
      </c>
      <c r="K3" s="22" t="s">
        <v>181</v>
      </c>
      <c r="L3" s="22" t="s">
        <v>182</v>
      </c>
      <c r="M3" s="22">
        <v>0</v>
      </c>
      <c r="N3" s="23">
        <v>13503</v>
      </c>
    </row>
    <row r="4" spans="1:14" ht="14" customHeight="1" x14ac:dyDescent="0.2">
      <c r="A4" s="24">
        <v>2</v>
      </c>
      <c r="B4" s="24" t="s">
        <v>183</v>
      </c>
      <c r="C4" s="24" t="s">
        <v>177</v>
      </c>
      <c r="D4" s="24" t="s">
        <v>184</v>
      </c>
      <c r="E4" s="24">
        <v>1</v>
      </c>
      <c r="F4" s="24">
        <v>15</v>
      </c>
      <c r="G4" s="24">
        <v>14</v>
      </c>
      <c r="H4" s="24" t="s">
        <v>185</v>
      </c>
      <c r="I4" s="24">
        <v>3</v>
      </c>
      <c r="J4" s="24" t="s">
        <v>186</v>
      </c>
      <c r="K4" s="24" t="s">
        <v>181</v>
      </c>
      <c r="L4" s="24" t="s">
        <v>182</v>
      </c>
      <c r="M4" s="24">
        <v>0.9</v>
      </c>
      <c r="N4" s="25">
        <v>18118</v>
      </c>
    </row>
    <row r="5" spans="1:14" ht="14" customHeight="1" x14ac:dyDescent="0.2">
      <c r="A5" s="22">
        <v>3</v>
      </c>
      <c r="B5" s="22" t="s">
        <v>58</v>
      </c>
      <c r="C5" s="22" t="s">
        <v>177</v>
      </c>
      <c r="D5" s="22" t="s">
        <v>187</v>
      </c>
      <c r="E5" s="22">
        <v>2</v>
      </c>
      <c r="F5" s="22">
        <v>18</v>
      </c>
      <c r="G5" s="22">
        <v>18</v>
      </c>
      <c r="H5" s="22" t="s">
        <v>179</v>
      </c>
      <c r="I5" s="22">
        <v>3</v>
      </c>
      <c r="J5" s="22" t="s">
        <v>180</v>
      </c>
      <c r="K5" s="22" t="s">
        <v>181</v>
      </c>
      <c r="L5" s="22" t="s">
        <v>182</v>
      </c>
      <c r="M5" s="22">
        <v>0</v>
      </c>
      <c r="N5" s="23">
        <v>19452</v>
      </c>
    </row>
    <row r="6" spans="1:14" ht="14" customHeight="1" x14ac:dyDescent="0.2">
      <c r="A6" s="24">
        <v>4</v>
      </c>
      <c r="B6" s="24" t="s">
        <v>63</v>
      </c>
      <c r="C6" s="24" t="s">
        <v>177</v>
      </c>
      <c r="D6" s="24" t="s">
        <v>188</v>
      </c>
      <c r="E6" s="24">
        <v>2</v>
      </c>
      <c r="F6" s="24">
        <v>20</v>
      </c>
      <c r="G6" s="24">
        <v>20</v>
      </c>
      <c r="H6" s="24" t="s">
        <v>179</v>
      </c>
      <c r="I6" s="24">
        <v>4</v>
      </c>
      <c r="J6" s="24" t="s">
        <v>180</v>
      </c>
      <c r="K6" s="24" t="s">
        <v>181</v>
      </c>
      <c r="L6" s="24" t="s">
        <v>182</v>
      </c>
      <c r="M6" s="24">
        <v>0</v>
      </c>
      <c r="N6" s="25">
        <v>23932</v>
      </c>
    </row>
    <row r="7" spans="1:14" ht="14" customHeight="1" x14ac:dyDescent="0.2">
      <c r="A7" s="22">
        <v>5</v>
      </c>
      <c r="B7" s="22" t="s">
        <v>64</v>
      </c>
      <c r="C7" s="22" t="s">
        <v>177</v>
      </c>
      <c r="D7" s="22" t="s">
        <v>189</v>
      </c>
      <c r="E7" s="22">
        <v>3</v>
      </c>
      <c r="F7" s="22">
        <v>22</v>
      </c>
      <c r="G7" s="22">
        <v>22</v>
      </c>
      <c r="H7" s="22" t="s">
        <v>179</v>
      </c>
      <c r="I7" s="22">
        <v>4</v>
      </c>
      <c r="J7" s="22" t="s">
        <v>190</v>
      </c>
      <c r="K7" s="22" t="s">
        <v>181</v>
      </c>
      <c r="L7" s="22" t="s">
        <v>182</v>
      </c>
      <c r="M7" s="22">
        <v>0</v>
      </c>
      <c r="N7" s="23">
        <v>23126</v>
      </c>
    </row>
    <row r="8" spans="1:14" ht="14" customHeight="1" x14ac:dyDescent="0.2">
      <c r="A8" s="24">
        <v>6</v>
      </c>
      <c r="B8" s="24" t="s">
        <v>65</v>
      </c>
      <c r="C8" s="24" t="s">
        <v>191</v>
      </c>
      <c r="D8" s="24" t="s">
        <v>178</v>
      </c>
      <c r="E8" s="24">
        <v>3</v>
      </c>
      <c r="F8" s="24">
        <v>20</v>
      </c>
      <c r="G8" s="24">
        <v>21</v>
      </c>
      <c r="H8" s="24" t="s">
        <v>192</v>
      </c>
      <c r="I8" s="24">
        <v>4</v>
      </c>
      <c r="J8" s="24" t="s">
        <v>193</v>
      </c>
      <c r="K8" s="24" t="s">
        <v>182</v>
      </c>
      <c r="L8" s="24" t="s">
        <v>182</v>
      </c>
      <c r="M8" s="24">
        <v>-2.7</v>
      </c>
      <c r="N8" s="25">
        <v>23036</v>
      </c>
    </row>
    <row r="9" spans="1:14" ht="14" customHeight="1" x14ac:dyDescent="0.2">
      <c r="A9" s="22">
        <v>7</v>
      </c>
      <c r="B9" s="22" t="s">
        <v>194</v>
      </c>
      <c r="C9" s="22" t="s">
        <v>191</v>
      </c>
      <c r="D9" s="22" t="s">
        <v>184</v>
      </c>
      <c r="E9" s="22">
        <v>4</v>
      </c>
      <c r="F9" s="22">
        <v>18</v>
      </c>
      <c r="G9" s="22">
        <v>17</v>
      </c>
      <c r="H9" s="22" t="s">
        <v>195</v>
      </c>
      <c r="I9" s="22">
        <v>3</v>
      </c>
      <c r="J9" s="22" t="s">
        <v>186</v>
      </c>
      <c r="K9" s="22" t="s">
        <v>181</v>
      </c>
      <c r="L9" s="22" t="s">
        <v>182</v>
      </c>
      <c r="M9" s="22">
        <v>0.8</v>
      </c>
      <c r="N9" s="23">
        <v>18179</v>
      </c>
    </row>
    <row r="10" spans="1:14" ht="14" customHeight="1" x14ac:dyDescent="0.2">
      <c r="A10" s="24">
        <v>8</v>
      </c>
      <c r="B10" s="24" t="s">
        <v>196</v>
      </c>
      <c r="C10" s="24" t="s">
        <v>191</v>
      </c>
      <c r="D10" s="24" t="s">
        <v>187</v>
      </c>
      <c r="E10" s="24">
        <v>4</v>
      </c>
      <c r="F10" s="24">
        <v>22</v>
      </c>
      <c r="G10" s="24">
        <v>21</v>
      </c>
      <c r="H10" s="24" t="s">
        <v>197</v>
      </c>
      <c r="I10" s="24">
        <v>4</v>
      </c>
      <c r="J10" s="24" t="s">
        <v>198</v>
      </c>
      <c r="K10" s="24" t="s">
        <v>181</v>
      </c>
      <c r="L10" s="24" t="s">
        <v>182</v>
      </c>
      <c r="M10" s="24">
        <v>1.9</v>
      </c>
      <c r="N10" s="25">
        <v>24872</v>
      </c>
    </row>
    <row r="11" spans="1:14" ht="14" customHeight="1" x14ac:dyDescent="0.2">
      <c r="A11" s="22">
        <v>9</v>
      </c>
      <c r="B11" s="22" t="s">
        <v>77</v>
      </c>
      <c r="C11" s="22" t="s">
        <v>191</v>
      </c>
      <c r="D11" s="22" t="s">
        <v>188</v>
      </c>
      <c r="E11" s="22">
        <v>5</v>
      </c>
      <c r="F11" s="22">
        <v>24</v>
      </c>
      <c r="G11" s="22">
        <v>23</v>
      </c>
      <c r="H11" s="22" t="s">
        <v>199</v>
      </c>
      <c r="I11" s="22">
        <v>4</v>
      </c>
      <c r="J11" s="22" t="s">
        <v>180</v>
      </c>
      <c r="K11" s="22" t="s">
        <v>182</v>
      </c>
      <c r="L11" s="22" t="s">
        <v>182</v>
      </c>
      <c r="M11" s="22">
        <v>2.8</v>
      </c>
      <c r="N11" s="23">
        <v>25350</v>
      </c>
    </row>
    <row r="12" spans="1:14" ht="14" customHeight="1" x14ac:dyDescent="0.2">
      <c r="A12" s="24">
        <v>10</v>
      </c>
      <c r="B12" s="24" t="s">
        <v>71</v>
      </c>
      <c r="C12" s="24" t="s">
        <v>191</v>
      </c>
      <c r="D12" s="24" t="s">
        <v>189</v>
      </c>
      <c r="E12" s="24">
        <v>5</v>
      </c>
      <c r="F12" s="24">
        <v>24</v>
      </c>
      <c r="G12" s="24">
        <v>22</v>
      </c>
      <c r="H12" s="24" t="s">
        <v>200</v>
      </c>
      <c r="I12" s="24">
        <v>4</v>
      </c>
      <c r="J12" s="24" t="s">
        <v>201</v>
      </c>
      <c r="K12" s="24" t="s">
        <v>181</v>
      </c>
      <c r="L12" s="24" t="s">
        <v>182</v>
      </c>
      <c r="M12" s="24">
        <v>4</v>
      </c>
      <c r="N12" s="25">
        <v>25464</v>
      </c>
    </row>
    <row r="13" spans="1:14" ht="14" customHeight="1" x14ac:dyDescent="0.2">
      <c r="A13" s="22">
        <v>11</v>
      </c>
      <c r="B13" s="22" t="s">
        <v>202</v>
      </c>
      <c r="C13" s="22" t="s">
        <v>203</v>
      </c>
      <c r="D13" s="22" t="s">
        <v>178</v>
      </c>
      <c r="E13" s="22">
        <v>5</v>
      </c>
      <c r="F13" s="22">
        <v>22</v>
      </c>
      <c r="G13" s="22">
        <v>21</v>
      </c>
      <c r="H13" s="22" t="s">
        <v>197</v>
      </c>
      <c r="I13" s="22">
        <v>4</v>
      </c>
      <c r="J13" s="22" t="s">
        <v>204</v>
      </c>
      <c r="K13" s="22" t="s">
        <v>181</v>
      </c>
      <c r="L13" s="22" t="s">
        <v>182</v>
      </c>
      <c r="M13" s="22">
        <v>2.7</v>
      </c>
      <c r="N13" s="23">
        <v>23585</v>
      </c>
    </row>
    <row r="14" spans="1:14" ht="14" customHeight="1" x14ac:dyDescent="0.2">
      <c r="A14" s="24">
        <v>12</v>
      </c>
      <c r="B14" s="24" t="s">
        <v>72</v>
      </c>
      <c r="C14" s="24" t="s">
        <v>203</v>
      </c>
      <c r="D14" s="24" t="s">
        <v>184</v>
      </c>
      <c r="E14" s="24">
        <v>5</v>
      </c>
      <c r="F14" s="24">
        <v>20</v>
      </c>
      <c r="G14" s="24">
        <v>22</v>
      </c>
      <c r="H14" s="24" t="s">
        <v>205</v>
      </c>
      <c r="I14" s="24">
        <v>4</v>
      </c>
      <c r="J14" s="24" t="s">
        <v>195</v>
      </c>
      <c r="K14" s="24" t="s">
        <v>181</v>
      </c>
      <c r="L14" s="24" t="s">
        <v>182</v>
      </c>
      <c r="M14" s="24">
        <v>-1.3</v>
      </c>
      <c r="N14" s="25">
        <v>24656</v>
      </c>
    </row>
    <row r="15" spans="1:14" ht="14" customHeight="1" x14ac:dyDescent="0.2">
      <c r="A15" s="22">
        <v>13</v>
      </c>
      <c r="B15" s="22" t="s">
        <v>90</v>
      </c>
      <c r="C15" s="22" t="s">
        <v>203</v>
      </c>
      <c r="D15" s="22" t="s">
        <v>187</v>
      </c>
      <c r="E15" s="22">
        <v>5</v>
      </c>
      <c r="F15" s="22">
        <v>18</v>
      </c>
      <c r="G15" s="22">
        <v>17</v>
      </c>
      <c r="H15" s="22" t="s">
        <v>195</v>
      </c>
      <c r="I15" s="22">
        <v>3</v>
      </c>
      <c r="J15" s="22" t="s">
        <v>206</v>
      </c>
      <c r="K15" s="22" t="s">
        <v>181</v>
      </c>
      <c r="L15" s="22" t="s">
        <v>182</v>
      </c>
      <c r="M15" s="22">
        <v>1.2</v>
      </c>
      <c r="N15" s="23">
        <v>18466</v>
      </c>
    </row>
    <row r="16" spans="1:14" ht="14" customHeight="1" x14ac:dyDescent="0.2">
      <c r="A16" s="24">
        <v>14</v>
      </c>
      <c r="B16" s="24" t="s">
        <v>207</v>
      </c>
      <c r="C16" s="24" t="s">
        <v>203</v>
      </c>
      <c r="D16" s="24" t="s">
        <v>188</v>
      </c>
      <c r="E16" s="24">
        <v>5</v>
      </c>
      <c r="F16" s="24">
        <v>22</v>
      </c>
      <c r="G16" s="24">
        <v>21</v>
      </c>
      <c r="H16" s="24" t="s">
        <v>197</v>
      </c>
      <c r="I16" s="24">
        <v>4</v>
      </c>
      <c r="J16" s="24" t="s">
        <v>208</v>
      </c>
      <c r="K16" s="24" t="s">
        <v>181</v>
      </c>
      <c r="L16" s="24" t="s">
        <v>182</v>
      </c>
      <c r="M16" s="24">
        <v>2.2999999999999998</v>
      </c>
      <c r="N16" s="25">
        <v>22692</v>
      </c>
    </row>
    <row r="17" spans="1:14" ht="14" customHeight="1" x14ac:dyDescent="0.2">
      <c r="A17" s="22">
        <v>15</v>
      </c>
      <c r="B17" s="22" t="s">
        <v>84</v>
      </c>
      <c r="C17" s="22" t="s">
        <v>203</v>
      </c>
      <c r="D17" s="22" t="s">
        <v>189</v>
      </c>
      <c r="E17" s="22">
        <v>5</v>
      </c>
      <c r="F17" s="22">
        <v>24</v>
      </c>
      <c r="G17" s="22">
        <v>25</v>
      </c>
      <c r="H17" s="22" t="s">
        <v>209</v>
      </c>
      <c r="I17" s="22">
        <v>4</v>
      </c>
      <c r="J17" s="22" t="s">
        <v>210</v>
      </c>
      <c r="K17" s="22" t="s">
        <v>181</v>
      </c>
      <c r="L17" s="22" t="s">
        <v>182</v>
      </c>
      <c r="M17" s="22">
        <v>-2.6</v>
      </c>
      <c r="N17" s="23">
        <v>25869</v>
      </c>
    </row>
    <row r="18" spans="1:14" ht="14" customHeight="1" x14ac:dyDescent="0.2">
      <c r="A18" s="24">
        <v>16</v>
      </c>
      <c r="B18" s="24" t="s">
        <v>94</v>
      </c>
      <c r="C18" s="24" t="s">
        <v>211</v>
      </c>
      <c r="D18" s="24" t="s">
        <v>178</v>
      </c>
      <c r="E18" s="24">
        <v>5</v>
      </c>
      <c r="F18" s="24">
        <v>26</v>
      </c>
      <c r="G18" s="24">
        <v>26</v>
      </c>
      <c r="H18" s="24" t="s">
        <v>179</v>
      </c>
      <c r="I18" s="24">
        <v>5</v>
      </c>
      <c r="J18" s="24" t="s">
        <v>201</v>
      </c>
      <c r="K18" s="24" t="s">
        <v>181</v>
      </c>
      <c r="L18" s="24" t="s">
        <v>182</v>
      </c>
      <c r="M18" s="24">
        <v>0</v>
      </c>
      <c r="N18" s="25">
        <v>29028</v>
      </c>
    </row>
    <row r="19" spans="1:14" ht="14" customHeight="1" x14ac:dyDescent="0.2">
      <c r="A19" s="22">
        <v>17</v>
      </c>
      <c r="B19" s="22" t="s">
        <v>97</v>
      </c>
      <c r="C19" s="22" t="s">
        <v>211</v>
      </c>
      <c r="D19" s="22" t="s">
        <v>184</v>
      </c>
      <c r="E19" s="22">
        <v>5</v>
      </c>
      <c r="F19" s="22">
        <v>26</v>
      </c>
      <c r="G19" s="22">
        <v>28</v>
      </c>
      <c r="H19" s="22" t="s">
        <v>212</v>
      </c>
      <c r="I19" s="22">
        <v>5</v>
      </c>
      <c r="J19" s="22" t="s">
        <v>200</v>
      </c>
      <c r="K19" s="22" t="s">
        <v>181</v>
      </c>
      <c r="L19" s="22" t="s">
        <v>182</v>
      </c>
      <c r="M19" s="22">
        <v>-1.8</v>
      </c>
      <c r="N19" s="23">
        <v>29231</v>
      </c>
    </row>
    <row r="20" spans="1:14" ht="14" customHeight="1" x14ac:dyDescent="0.2">
      <c r="A20" s="24">
        <v>18</v>
      </c>
      <c r="B20" s="24" t="s">
        <v>85</v>
      </c>
      <c r="C20" s="24" t="s">
        <v>211</v>
      </c>
      <c r="D20" s="24" t="s">
        <v>187</v>
      </c>
      <c r="E20" s="24">
        <v>5</v>
      </c>
      <c r="F20" s="24">
        <v>24</v>
      </c>
      <c r="G20" s="24">
        <v>25</v>
      </c>
      <c r="H20" s="24" t="s">
        <v>209</v>
      </c>
      <c r="I20" s="24">
        <v>4</v>
      </c>
      <c r="J20" s="24" t="s">
        <v>213</v>
      </c>
      <c r="K20" s="24" t="s">
        <v>181</v>
      </c>
      <c r="L20" s="24" t="s">
        <v>182</v>
      </c>
      <c r="M20" s="24">
        <v>-2</v>
      </c>
      <c r="N20" s="25">
        <v>26064</v>
      </c>
    </row>
    <row r="21" spans="1:14" ht="14" customHeight="1" x14ac:dyDescent="0.2">
      <c r="A21" s="22">
        <v>19</v>
      </c>
      <c r="B21" s="22" t="s">
        <v>214</v>
      </c>
      <c r="C21" s="22" t="s">
        <v>211</v>
      </c>
      <c r="D21" s="22" t="s">
        <v>188</v>
      </c>
      <c r="E21" s="22">
        <v>5</v>
      </c>
      <c r="F21" s="22">
        <v>22</v>
      </c>
      <c r="G21" s="22">
        <v>24</v>
      </c>
      <c r="H21" s="22" t="s">
        <v>215</v>
      </c>
      <c r="I21" s="22">
        <v>4</v>
      </c>
      <c r="J21" s="22" t="s">
        <v>216</v>
      </c>
      <c r="K21" s="22" t="s">
        <v>181</v>
      </c>
      <c r="L21" s="22" t="s">
        <v>182</v>
      </c>
      <c r="M21" s="22">
        <v>-3.1</v>
      </c>
      <c r="N21" s="23">
        <v>25370</v>
      </c>
    </row>
    <row r="22" spans="1:14" ht="14" customHeight="1" x14ac:dyDescent="0.2">
      <c r="A22" s="26">
        <v>20</v>
      </c>
      <c r="B22" s="26" t="s">
        <v>98</v>
      </c>
      <c r="C22" s="26" t="s">
        <v>211</v>
      </c>
      <c r="D22" s="26" t="s">
        <v>189</v>
      </c>
      <c r="E22" s="26">
        <v>5</v>
      </c>
      <c r="F22" s="26">
        <v>24</v>
      </c>
      <c r="G22" s="26">
        <v>25</v>
      </c>
      <c r="H22" s="26" t="s">
        <v>209</v>
      </c>
      <c r="I22" s="26">
        <v>4</v>
      </c>
      <c r="J22" s="26" t="s">
        <v>213</v>
      </c>
      <c r="K22" s="26" t="s">
        <v>182</v>
      </c>
      <c r="L22" s="26" t="s">
        <v>181</v>
      </c>
      <c r="M22" s="26">
        <v>-2</v>
      </c>
      <c r="N22" s="27">
        <v>25771</v>
      </c>
    </row>
    <row r="23" spans="1:14" ht="14" customHeight="1" x14ac:dyDescent="0.2">
      <c r="A23" s="22">
        <v>21</v>
      </c>
      <c r="B23" s="22" t="s">
        <v>217</v>
      </c>
      <c r="C23" s="22" t="s">
        <v>218</v>
      </c>
      <c r="D23" s="22" t="s">
        <v>178</v>
      </c>
      <c r="E23" s="22">
        <v>5</v>
      </c>
      <c r="F23" s="22">
        <v>26</v>
      </c>
      <c r="G23" s="22">
        <v>25</v>
      </c>
      <c r="H23" s="22" t="s">
        <v>199</v>
      </c>
      <c r="I23" s="22">
        <v>5</v>
      </c>
      <c r="J23" s="22" t="s">
        <v>216</v>
      </c>
      <c r="K23" s="22" t="s">
        <v>181</v>
      </c>
      <c r="L23" s="22" t="s">
        <v>182</v>
      </c>
      <c r="M23" s="22">
        <v>1.4</v>
      </c>
      <c r="N23" s="23">
        <v>29394</v>
      </c>
    </row>
    <row r="24" spans="1:14" ht="14" customHeight="1" x14ac:dyDescent="0.2">
      <c r="A24" s="24">
        <v>22</v>
      </c>
      <c r="B24" s="24" t="s">
        <v>99</v>
      </c>
      <c r="C24" s="24" t="s">
        <v>218</v>
      </c>
      <c r="D24" s="24" t="s">
        <v>184</v>
      </c>
      <c r="E24" s="24">
        <v>5</v>
      </c>
      <c r="F24" s="24">
        <v>28</v>
      </c>
      <c r="G24" s="24">
        <v>28</v>
      </c>
      <c r="H24" s="24" t="s">
        <v>179</v>
      </c>
      <c r="I24" s="24">
        <v>5</v>
      </c>
      <c r="J24" s="24" t="s">
        <v>216</v>
      </c>
      <c r="K24" s="24" t="s">
        <v>181</v>
      </c>
      <c r="L24" s="24" t="s">
        <v>182</v>
      </c>
      <c r="M24" s="24">
        <v>0</v>
      </c>
      <c r="N24" s="25">
        <v>29998</v>
      </c>
    </row>
    <row r="25" spans="1:14" ht="14" customHeight="1" x14ac:dyDescent="0.2">
      <c r="A25" s="26">
        <v>23</v>
      </c>
      <c r="B25" s="26" t="s">
        <v>108</v>
      </c>
      <c r="C25" s="26" t="s">
        <v>218</v>
      </c>
      <c r="D25" s="26" t="s">
        <v>187</v>
      </c>
      <c r="E25" s="26">
        <v>5</v>
      </c>
      <c r="F25" s="26">
        <v>28</v>
      </c>
      <c r="G25" s="26">
        <v>31</v>
      </c>
      <c r="H25" s="26" t="s">
        <v>219</v>
      </c>
      <c r="I25" s="26">
        <v>5</v>
      </c>
      <c r="J25" s="26" t="s">
        <v>193</v>
      </c>
      <c r="K25" s="26" t="s">
        <v>182</v>
      </c>
      <c r="L25" s="26" t="s">
        <v>181</v>
      </c>
      <c r="M25" s="26">
        <v>-8.6999999999999993</v>
      </c>
      <c r="N25" s="27">
        <v>31392</v>
      </c>
    </row>
    <row r="26" spans="1:14" ht="14" customHeight="1" x14ac:dyDescent="0.2">
      <c r="A26" s="24">
        <v>24</v>
      </c>
      <c r="B26" s="24" t="s">
        <v>113</v>
      </c>
      <c r="C26" s="24" t="s">
        <v>218</v>
      </c>
      <c r="D26" s="24" t="s">
        <v>188</v>
      </c>
      <c r="E26" s="24">
        <v>5</v>
      </c>
      <c r="F26" s="24">
        <v>26</v>
      </c>
      <c r="G26" s="24">
        <v>28</v>
      </c>
      <c r="H26" s="24" t="s">
        <v>212</v>
      </c>
      <c r="I26" s="24">
        <v>5</v>
      </c>
      <c r="J26" s="24" t="s">
        <v>193</v>
      </c>
      <c r="K26" s="24" t="s">
        <v>181</v>
      </c>
      <c r="L26" s="24" t="s">
        <v>182</v>
      </c>
      <c r="M26" s="24">
        <v>-5.5</v>
      </c>
      <c r="N26" s="25">
        <v>30829</v>
      </c>
    </row>
    <row r="27" spans="1:14" ht="14" customHeight="1" x14ac:dyDescent="0.2">
      <c r="A27" s="22">
        <v>25</v>
      </c>
      <c r="B27" s="22" t="s">
        <v>220</v>
      </c>
      <c r="C27" s="22" t="s">
        <v>218</v>
      </c>
      <c r="D27" s="22" t="s">
        <v>189</v>
      </c>
      <c r="E27" s="22">
        <v>5</v>
      </c>
      <c r="F27" s="22">
        <v>24</v>
      </c>
      <c r="G27" s="22">
        <v>24</v>
      </c>
      <c r="H27" s="22" t="s">
        <v>179</v>
      </c>
      <c r="I27" s="22">
        <v>4</v>
      </c>
      <c r="J27" s="22" t="s">
        <v>213</v>
      </c>
      <c r="K27" s="22" t="s">
        <v>182</v>
      </c>
      <c r="L27" s="22" t="s">
        <v>182</v>
      </c>
      <c r="M27" s="22">
        <v>0</v>
      </c>
      <c r="N27" s="23">
        <v>26766</v>
      </c>
    </row>
    <row r="28" spans="1:14" ht="14" customHeight="1" x14ac:dyDescent="0.2">
      <c r="A28" s="24">
        <v>26</v>
      </c>
      <c r="B28" s="24" t="s">
        <v>221</v>
      </c>
      <c r="C28" s="24" t="s">
        <v>222</v>
      </c>
      <c r="D28" s="24" t="s">
        <v>178</v>
      </c>
      <c r="E28" s="24">
        <v>5</v>
      </c>
      <c r="F28" s="24">
        <v>24</v>
      </c>
      <c r="G28" s="24">
        <v>26</v>
      </c>
      <c r="H28" s="24" t="s">
        <v>212</v>
      </c>
      <c r="I28" s="24">
        <v>4</v>
      </c>
      <c r="J28" s="24" t="s">
        <v>223</v>
      </c>
      <c r="K28" s="24" t="s">
        <v>181</v>
      </c>
      <c r="L28" s="24" t="s">
        <v>182</v>
      </c>
      <c r="M28" s="24">
        <v>-6.4</v>
      </c>
      <c r="N28" s="25">
        <v>28099</v>
      </c>
    </row>
    <row r="29" spans="1:14" ht="14" customHeight="1" x14ac:dyDescent="0.2">
      <c r="A29" s="22">
        <v>27</v>
      </c>
      <c r="B29" s="22" t="s">
        <v>109</v>
      </c>
      <c r="C29" s="22" t="s">
        <v>222</v>
      </c>
      <c r="D29" s="22" t="s">
        <v>184</v>
      </c>
      <c r="E29" s="22">
        <v>5</v>
      </c>
      <c r="F29" s="22">
        <v>22</v>
      </c>
      <c r="G29" s="22">
        <v>23</v>
      </c>
      <c r="H29" s="22" t="s">
        <v>192</v>
      </c>
      <c r="I29" s="22">
        <v>4</v>
      </c>
      <c r="J29" s="22" t="s">
        <v>200</v>
      </c>
      <c r="K29" s="22" t="s">
        <v>181</v>
      </c>
      <c r="L29" s="22" t="s">
        <v>182</v>
      </c>
      <c r="M29" s="22">
        <v>-0.9</v>
      </c>
      <c r="N29" s="23">
        <v>24256</v>
      </c>
    </row>
    <row r="30" spans="1:14" ht="14" customHeight="1" x14ac:dyDescent="0.2">
      <c r="A30" s="24">
        <v>28</v>
      </c>
      <c r="B30" s="24" t="s">
        <v>127</v>
      </c>
      <c r="C30" s="24" t="s">
        <v>222</v>
      </c>
      <c r="D30" s="24" t="s">
        <v>187</v>
      </c>
      <c r="E30" s="24">
        <v>5</v>
      </c>
      <c r="F30" s="24">
        <v>20</v>
      </c>
      <c r="G30" s="24">
        <v>19</v>
      </c>
      <c r="H30" s="24" t="s">
        <v>197</v>
      </c>
      <c r="I30" s="24">
        <v>4</v>
      </c>
      <c r="J30" s="24" t="s">
        <v>193</v>
      </c>
      <c r="K30" s="24" t="s">
        <v>181</v>
      </c>
      <c r="L30" s="24" t="s">
        <v>182</v>
      </c>
      <c r="M30" s="24">
        <v>2.4</v>
      </c>
      <c r="N30" s="25">
        <v>22078</v>
      </c>
    </row>
    <row r="31" spans="1:14" ht="14" customHeight="1" x14ac:dyDescent="0.2">
      <c r="A31" s="22">
        <v>29</v>
      </c>
      <c r="B31" s="22" t="s">
        <v>110</v>
      </c>
      <c r="C31" s="22" t="s">
        <v>222</v>
      </c>
      <c r="D31" s="22" t="s">
        <v>188</v>
      </c>
      <c r="E31" s="22">
        <v>5</v>
      </c>
      <c r="F31" s="22">
        <v>18</v>
      </c>
      <c r="G31" s="22">
        <v>20</v>
      </c>
      <c r="H31" s="22" t="s">
        <v>219</v>
      </c>
      <c r="I31" s="22">
        <v>3</v>
      </c>
      <c r="J31" s="22" t="s">
        <v>186</v>
      </c>
      <c r="K31" s="22" t="s">
        <v>181</v>
      </c>
      <c r="L31" s="22" t="s">
        <v>182</v>
      </c>
      <c r="M31" s="22">
        <v>-1.9</v>
      </c>
      <c r="N31" s="23">
        <v>21122</v>
      </c>
    </row>
    <row r="32" spans="1:14" ht="14" customHeight="1" x14ac:dyDescent="0.2">
      <c r="A32" s="24">
        <v>30</v>
      </c>
      <c r="B32" s="24" t="s">
        <v>119</v>
      </c>
      <c r="C32" s="24" t="s">
        <v>222</v>
      </c>
      <c r="D32" s="24" t="s">
        <v>189</v>
      </c>
      <c r="E32" s="24">
        <v>5</v>
      </c>
      <c r="F32" s="24">
        <v>18</v>
      </c>
      <c r="G32" s="24">
        <v>19</v>
      </c>
      <c r="H32" s="24" t="s">
        <v>224</v>
      </c>
      <c r="I32" s="24">
        <v>3</v>
      </c>
      <c r="J32" s="24" t="s">
        <v>225</v>
      </c>
      <c r="K32" s="24" t="s">
        <v>181</v>
      </c>
      <c r="L32" s="24" t="s">
        <v>182</v>
      </c>
      <c r="M32" s="24">
        <v>-1.7</v>
      </c>
      <c r="N32" s="25">
        <v>19826</v>
      </c>
    </row>
    <row r="33" spans="1:14" ht="14" customHeight="1" x14ac:dyDescent="0.2">
      <c r="A33" s="22">
        <v>31</v>
      </c>
      <c r="B33" s="22" t="s">
        <v>128</v>
      </c>
      <c r="C33" s="22" t="s">
        <v>226</v>
      </c>
      <c r="D33" s="22" t="s">
        <v>178</v>
      </c>
      <c r="E33" s="22">
        <v>5</v>
      </c>
      <c r="F33" s="22">
        <v>20</v>
      </c>
      <c r="G33" s="22">
        <v>19</v>
      </c>
      <c r="H33" s="22" t="s">
        <v>197</v>
      </c>
      <c r="I33" s="22">
        <v>4</v>
      </c>
      <c r="J33" s="22" t="s">
        <v>210</v>
      </c>
      <c r="K33" s="22" t="s">
        <v>181</v>
      </c>
      <c r="L33" s="22" t="s">
        <v>182</v>
      </c>
      <c r="M33" s="22">
        <v>2.4</v>
      </c>
      <c r="N33" s="23">
        <v>23453</v>
      </c>
    </row>
    <row r="34" spans="1:14" ht="14" customHeight="1" x14ac:dyDescent="0.2">
      <c r="A34" s="24">
        <v>32</v>
      </c>
      <c r="B34" s="24" t="s">
        <v>129</v>
      </c>
      <c r="C34" s="24" t="s">
        <v>226</v>
      </c>
      <c r="D34" s="24" t="s">
        <v>184</v>
      </c>
      <c r="E34" s="24">
        <v>5</v>
      </c>
      <c r="F34" s="24">
        <v>18</v>
      </c>
      <c r="G34" s="24">
        <v>17</v>
      </c>
      <c r="H34" s="24" t="s">
        <v>195</v>
      </c>
      <c r="I34" s="24">
        <v>3</v>
      </c>
      <c r="J34" s="24" t="s">
        <v>180</v>
      </c>
      <c r="K34" s="24" t="s">
        <v>181</v>
      </c>
      <c r="L34" s="24" t="s">
        <v>182</v>
      </c>
      <c r="M34" s="24">
        <v>2.8</v>
      </c>
      <c r="N34" s="25">
        <v>19059</v>
      </c>
    </row>
    <row r="35" spans="1:14" ht="14" customHeight="1" x14ac:dyDescent="0.2">
      <c r="A35" s="22">
        <v>33</v>
      </c>
      <c r="B35" s="22" t="s">
        <v>139</v>
      </c>
      <c r="C35" s="22" t="s">
        <v>226</v>
      </c>
      <c r="D35" s="22" t="s">
        <v>187</v>
      </c>
      <c r="E35" s="22">
        <v>5</v>
      </c>
      <c r="F35" s="22">
        <v>16</v>
      </c>
      <c r="G35" s="22">
        <v>15</v>
      </c>
      <c r="H35" s="22" t="s">
        <v>195</v>
      </c>
      <c r="I35" s="22">
        <v>3</v>
      </c>
      <c r="J35" s="22" t="s">
        <v>227</v>
      </c>
      <c r="K35" s="22" t="s">
        <v>181</v>
      </c>
      <c r="L35" s="22" t="s">
        <v>182</v>
      </c>
      <c r="M35" s="22">
        <v>2.2000000000000002</v>
      </c>
      <c r="N35" s="23">
        <v>16750</v>
      </c>
    </row>
    <row r="36" spans="1:14" ht="14" customHeight="1" x14ac:dyDescent="0.2">
      <c r="A36" s="24">
        <v>34</v>
      </c>
      <c r="B36" s="24" t="s">
        <v>120</v>
      </c>
      <c r="C36" s="24" t="s">
        <v>226</v>
      </c>
      <c r="D36" s="24" t="s">
        <v>188</v>
      </c>
      <c r="E36" s="24">
        <v>5</v>
      </c>
      <c r="F36" s="24">
        <v>14</v>
      </c>
      <c r="G36" s="24">
        <v>15</v>
      </c>
      <c r="H36" s="24" t="s">
        <v>228</v>
      </c>
      <c r="I36" s="24">
        <v>2</v>
      </c>
      <c r="J36" s="24" t="s">
        <v>185</v>
      </c>
      <c r="K36" s="24" t="s">
        <v>181</v>
      </c>
      <c r="L36" s="24" t="s">
        <v>182</v>
      </c>
      <c r="M36" s="24">
        <v>-0.8</v>
      </c>
      <c r="N36" s="25">
        <v>15125</v>
      </c>
    </row>
    <row r="37" spans="1:14" ht="14" customHeight="1" x14ac:dyDescent="0.2">
      <c r="A37" s="22">
        <v>35</v>
      </c>
      <c r="B37" s="22" t="s">
        <v>132</v>
      </c>
      <c r="C37" s="22" t="s">
        <v>226</v>
      </c>
      <c r="D37" s="22" t="s">
        <v>189</v>
      </c>
      <c r="E37" s="22">
        <v>5</v>
      </c>
      <c r="F37" s="22">
        <v>12</v>
      </c>
      <c r="G37" s="22">
        <v>12</v>
      </c>
      <c r="H37" s="22" t="s">
        <v>179</v>
      </c>
      <c r="I37" s="22">
        <v>2</v>
      </c>
      <c r="J37" s="22" t="s">
        <v>229</v>
      </c>
      <c r="K37" s="22" t="s">
        <v>181</v>
      </c>
      <c r="L37" s="22" t="s">
        <v>182</v>
      </c>
      <c r="M37" s="22">
        <v>0</v>
      </c>
      <c r="N37" s="23">
        <v>13585</v>
      </c>
    </row>
    <row r="38" spans="1:14" ht="14" customHeight="1" x14ac:dyDescent="0.2">
      <c r="A38" s="24">
        <v>36</v>
      </c>
      <c r="B38" s="24" t="s">
        <v>143</v>
      </c>
      <c r="C38" s="24" t="s">
        <v>230</v>
      </c>
      <c r="D38" s="24" t="s">
        <v>178</v>
      </c>
      <c r="E38" s="24">
        <v>5</v>
      </c>
      <c r="F38" s="24">
        <v>12</v>
      </c>
      <c r="G38" s="24">
        <v>12</v>
      </c>
      <c r="H38" s="24" t="s">
        <v>179</v>
      </c>
      <c r="I38" s="24">
        <v>2</v>
      </c>
      <c r="J38" s="24" t="s">
        <v>231</v>
      </c>
      <c r="K38" s="24" t="s">
        <v>181</v>
      </c>
      <c r="L38" s="24" t="s">
        <v>182</v>
      </c>
      <c r="M38" s="24">
        <v>0</v>
      </c>
      <c r="N38" s="25">
        <v>14708</v>
      </c>
    </row>
    <row r="39" spans="1:14" ht="14" customHeight="1" x14ac:dyDescent="0.2">
      <c r="A39" s="22">
        <v>37</v>
      </c>
      <c r="B39" s="22" t="s">
        <v>121</v>
      </c>
      <c r="C39" s="22" t="s">
        <v>230</v>
      </c>
      <c r="D39" s="22" t="s">
        <v>184</v>
      </c>
      <c r="E39" s="22">
        <v>5</v>
      </c>
      <c r="F39" s="22">
        <v>10</v>
      </c>
      <c r="G39" s="22">
        <v>11</v>
      </c>
      <c r="H39" s="22" t="s">
        <v>205</v>
      </c>
      <c r="I39" s="22">
        <v>2</v>
      </c>
      <c r="J39" s="22" t="s">
        <v>232</v>
      </c>
      <c r="K39" s="22" t="s">
        <v>181</v>
      </c>
      <c r="L39" s="22" t="s">
        <v>182</v>
      </c>
      <c r="M39" s="22">
        <v>-1.2</v>
      </c>
      <c r="N39" s="23">
        <v>13434</v>
      </c>
    </row>
    <row r="40" spans="1:14" ht="14" customHeight="1" x14ac:dyDescent="0.2">
      <c r="A40" s="24">
        <v>38</v>
      </c>
      <c r="B40" s="24" t="s">
        <v>144</v>
      </c>
      <c r="C40" s="24" t="s">
        <v>230</v>
      </c>
      <c r="D40" s="24" t="s">
        <v>187</v>
      </c>
      <c r="E40" s="24">
        <v>5</v>
      </c>
      <c r="F40" s="24">
        <v>8</v>
      </c>
      <c r="G40" s="24">
        <v>9</v>
      </c>
      <c r="H40" s="24" t="s">
        <v>233</v>
      </c>
      <c r="I40" s="24">
        <v>1</v>
      </c>
      <c r="J40" s="24" t="s">
        <v>206</v>
      </c>
      <c r="K40" s="24" t="s">
        <v>182</v>
      </c>
      <c r="L40" s="24" t="s">
        <v>182</v>
      </c>
      <c r="M40" s="24">
        <v>-1.3</v>
      </c>
      <c r="N40" s="25">
        <v>10449</v>
      </c>
    </row>
    <row r="41" spans="1:14" ht="14" customHeight="1" x14ac:dyDescent="0.2">
      <c r="A41" s="22">
        <v>39</v>
      </c>
      <c r="B41" s="22" t="s">
        <v>148</v>
      </c>
      <c r="C41" s="22" t="s">
        <v>230</v>
      </c>
      <c r="D41" s="22" t="s">
        <v>188</v>
      </c>
      <c r="E41" s="22">
        <v>5</v>
      </c>
      <c r="F41" s="22">
        <v>8</v>
      </c>
      <c r="G41" s="22">
        <v>7</v>
      </c>
      <c r="H41" s="22" t="s">
        <v>206</v>
      </c>
      <c r="I41" s="22">
        <v>1</v>
      </c>
      <c r="J41" s="22" t="s">
        <v>208</v>
      </c>
      <c r="K41" s="22" t="s">
        <v>181</v>
      </c>
      <c r="L41" s="22" t="s">
        <v>182</v>
      </c>
      <c r="M41" s="22">
        <v>2.1</v>
      </c>
      <c r="N41" s="23">
        <v>7286</v>
      </c>
    </row>
    <row r="42" spans="1:14" ht="14" customHeight="1" x14ac:dyDescent="0.2">
      <c r="A42" s="24">
        <v>40</v>
      </c>
      <c r="B42" s="24" t="s">
        <v>149</v>
      </c>
      <c r="C42" s="24" t="s">
        <v>230</v>
      </c>
      <c r="D42" s="24" t="s">
        <v>189</v>
      </c>
      <c r="E42" s="24">
        <v>5</v>
      </c>
      <c r="F42" s="24">
        <v>6</v>
      </c>
      <c r="G42" s="24">
        <v>6</v>
      </c>
      <c r="H42" s="24" t="s">
        <v>179</v>
      </c>
      <c r="I42" s="24">
        <v>1</v>
      </c>
      <c r="J42" s="24" t="s">
        <v>208</v>
      </c>
      <c r="K42" s="24" t="s">
        <v>181</v>
      </c>
      <c r="L42" s="24" t="s">
        <v>182</v>
      </c>
      <c r="M42" s="24">
        <v>0</v>
      </c>
      <c r="N42" s="25">
        <v>6529</v>
      </c>
    </row>
    <row r="43" spans="1:14" x14ac:dyDescent="0.2">
      <c r="A43" s="63" t="s">
        <v>234</v>
      </c>
      <c r="B43" s="58"/>
      <c r="C43" s="58"/>
      <c r="D43" s="58"/>
      <c r="E43" s="28">
        <f>SUM(E3:E42)</f>
        <v>180</v>
      </c>
      <c r="F43" s="28">
        <f>SUM(F3:F42)</f>
        <v>781</v>
      </c>
      <c r="G43" s="28">
        <f>SUM(G3:G42)</f>
        <v>790</v>
      </c>
      <c r="N43" s="29">
        <f>SUM(N3:N42)</f>
        <v>869902</v>
      </c>
    </row>
  </sheetData>
  <mergeCells count="2">
    <mergeCell ref="A43:D4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5"/>
  <sheetViews>
    <sheetView showGridLines="0" zoomScale="130" zoomScaleNormal="130" workbookViewId="0">
      <selection activeCell="H15" sqref="H15"/>
    </sheetView>
  </sheetViews>
  <sheetFormatPr baseColWidth="10" defaultColWidth="8.83203125" defaultRowHeight="15" x14ac:dyDescent="0.2"/>
  <cols>
    <col min="1" max="1" width="13" customWidth="1"/>
    <col min="2" max="2" width="8" customWidth="1"/>
    <col min="3" max="3" width="11" customWidth="1"/>
    <col min="4" max="4" width="25" customWidth="1"/>
    <col min="5" max="7" width="7" customWidth="1"/>
    <col min="8" max="8" width="11.6640625" customWidth="1"/>
    <col min="9" max="18" width="7" customWidth="1"/>
    <col min="19" max="20" width="11" customWidth="1"/>
    <col min="21" max="22" width="10" customWidth="1"/>
  </cols>
  <sheetData>
    <row r="1" spans="1:22" ht="28" customHeight="1" x14ac:dyDescent="0.2">
      <c r="A1" s="61" t="s">
        <v>235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22" x14ac:dyDescent="0.2">
      <c r="A2" s="65" t="s">
        <v>236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22" ht="32" customHeight="1" x14ac:dyDescent="0.2">
      <c r="A3" s="4" t="s">
        <v>164</v>
      </c>
      <c r="B3" s="4" t="s">
        <v>165</v>
      </c>
      <c r="C3" s="4" t="s">
        <v>163</v>
      </c>
      <c r="D3" s="4" t="s">
        <v>237</v>
      </c>
      <c r="E3" s="4" t="s">
        <v>238</v>
      </c>
      <c r="F3" s="4" t="s">
        <v>239</v>
      </c>
      <c r="G3" s="4" t="s">
        <v>240</v>
      </c>
      <c r="H3" s="4" t="s">
        <v>241</v>
      </c>
      <c r="I3" s="4" t="s">
        <v>242</v>
      </c>
      <c r="J3" s="4" t="s">
        <v>243</v>
      </c>
      <c r="K3" s="4" t="s">
        <v>244</v>
      </c>
      <c r="L3" s="4" t="s">
        <v>245</v>
      </c>
      <c r="M3" s="4" t="s">
        <v>246</v>
      </c>
      <c r="N3" s="4" t="s">
        <v>247</v>
      </c>
      <c r="O3" s="4" t="s">
        <v>248</v>
      </c>
      <c r="P3" s="4" t="s">
        <v>249</v>
      </c>
      <c r="Q3" s="4" t="s">
        <v>250</v>
      </c>
      <c r="R3" s="4" t="s">
        <v>251</v>
      </c>
      <c r="S3" s="4" t="s">
        <v>252</v>
      </c>
      <c r="T3" s="4" t="s">
        <v>253</v>
      </c>
      <c r="U3" s="4" t="s">
        <v>254</v>
      </c>
      <c r="V3" s="4" t="s">
        <v>255</v>
      </c>
    </row>
    <row r="4" spans="1:22" ht="14" customHeight="1" x14ac:dyDescent="0.2">
      <c r="A4" s="22" t="s">
        <v>6</v>
      </c>
      <c r="B4" s="22" t="s">
        <v>177</v>
      </c>
      <c r="C4" s="22" t="s">
        <v>178</v>
      </c>
      <c r="D4" s="22" t="s">
        <v>256</v>
      </c>
      <c r="E4" s="22">
        <v>297</v>
      </c>
      <c r="F4" s="22">
        <v>1325</v>
      </c>
      <c r="G4" s="22">
        <v>1816</v>
      </c>
      <c r="H4" s="26">
        <v>1160</v>
      </c>
      <c r="I4" s="22">
        <v>620</v>
      </c>
      <c r="J4" s="22">
        <v>750</v>
      </c>
      <c r="K4" s="22">
        <v>786</v>
      </c>
      <c r="L4" s="22">
        <v>817</v>
      </c>
      <c r="M4" s="22">
        <v>659</v>
      </c>
      <c r="N4" s="22">
        <v>789</v>
      </c>
      <c r="O4" s="22">
        <v>1070</v>
      </c>
      <c r="P4" s="22">
        <v>1796</v>
      </c>
      <c r="Q4" s="22">
        <v>1807</v>
      </c>
      <c r="R4" s="22">
        <v>1348</v>
      </c>
      <c r="S4" s="26">
        <v>15040</v>
      </c>
      <c r="T4" s="26">
        <v>1816</v>
      </c>
      <c r="U4" s="26">
        <v>0.78</v>
      </c>
      <c r="V4" s="22">
        <v>16.8</v>
      </c>
    </row>
    <row r="5" spans="1:22" ht="14" customHeight="1" x14ac:dyDescent="0.2">
      <c r="A5" s="24" t="s">
        <v>183</v>
      </c>
      <c r="B5" s="24" t="s">
        <v>177</v>
      </c>
      <c r="C5" s="24" t="s">
        <v>184</v>
      </c>
      <c r="D5" s="24" t="s">
        <v>256</v>
      </c>
      <c r="E5" s="24">
        <v>304</v>
      </c>
      <c r="F5" s="24">
        <v>1337</v>
      </c>
      <c r="G5" s="24">
        <v>1944</v>
      </c>
      <c r="H5" s="26">
        <v>1098</v>
      </c>
      <c r="I5" s="24">
        <v>853</v>
      </c>
      <c r="J5" s="24">
        <v>806</v>
      </c>
      <c r="K5" s="24">
        <v>762</v>
      </c>
      <c r="L5" s="24">
        <v>762</v>
      </c>
      <c r="M5" s="24">
        <v>661</v>
      </c>
      <c r="N5" s="24">
        <v>858</v>
      </c>
      <c r="O5" s="24">
        <v>977</v>
      </c>
      <c r="P5" s="24">
        <v>1708</v>
      </c>
      <c r="Q5" s="24">
        <v>2342</v>
      </c>
      <c r="R5" s="24">
        <v>1385</v>
      </c>
      <c r="S5" s="26">
        <v>15797</v>
      </c>
      <c r="T5" s="26">
        <v>2342</v>
      </c>
      <c r="U5" s="26">
        <v>0.99</v>
      </c>
      <c r="V5" s="24">
        <v>10</v>
      </c>
    </row>
    <row r="6" spans="1:22" ht="14" customHeight="1" x14ac:dyDescent="0.2">
      <c r="A6" s="22" t="s">
        <v>58</v>
      </c>
      <c r="B6" s="22" t="s">
        <v>177</v>
      </c>
      <c r="C6" s="22" t="s">
        <v>187</v>
      </c>
      <c r="D6" s="22" t="s">
        <v>256</v>
      </c>
      <c r="E6" s="22">
        <v>365</v>
      </c>
      <c r="F6" s="22">
        <v>1389</v>
      </c>
      <c r="G6" s="22">
        <v>1668</v>
      </c>
      <c r="H6" s="26">
        <v>1284</v>
      </c>
      <c r="I6" s="22">
        <v>715</v>
      </c>
      <c r="J6" s="22">
        <v>566</v>
      </c>
      <c r="K6" s="22">
        <v>794</v>
      </c>
      <c r="L6" s="22">
        <v>702</v>
      </c>
      <c r="M6" s="22">
        <v>769</v>
      </c>
      <c r="N6" s="22">
        <v>846</v>
      </c>
      <c r="O6" s="22">
        <v>978</v>
      </c>
      <c r="P6" s="22">
        <v>1923</v>
      </c>
      <c r="Q6" s="22">
        <v>1858</v>
      </c>
      <c r="R6" s="22">
        <v>1199</v>
      </c>
      <c r="S6" s="26">
        <v>15056</v>
      </c>
      <c r="T6" s="26">
        <v>1923</v>
      </c>
      <c r="U6" s="26">
        <v>0.91</v>
      </c>
      <c r="V6" s="22">
        <v>10</v>
      </c>
    </row>
    <row r="7" spans="1:22" ht="14" customHeight="1" x14ac:dyDescent="0.2">
      <c r="A7" s="24" t="s">
        <v>63</v>
      </c>
      <c r="B7" s="24" t="s">
        <v>177</v>
      </c>
      <c r="C7" s="24" t="s">
        <v>188</v>
      </c>
      <c r="D7" s="24" t="s">
        <v>256</v>
      </c>
      <c r="E7" s="24">
        <v>324</v>
      </c>
      <c r="F7" s="24">
        <v>1164</v>
      </c>
      <c r="G7" s="24">
        <v>2264</v>
      </c>
      <c r="H7" s="26">
        <v>1010</v>
      </c>
      <c r="I7" s="24">
        <v>732</v>
      </c>
      <c r="J7" s="24">
        <v>784</v>
      </c>
      <c r="K7" s="24">
        <v>680</v>
      </c>
      <c r="L7" s="24">
        <v>907</v>
      </c>
      <c r="M7" s="24">
        <v>829</v>
      </c>
      <c r="N7" s="24">
        <v>760</v>
      </c>
      <c r="O7" s="24">
        <v>1016</v>
      </c>
      <c r="P7" s="24">
        <v>1989</v>
      </c>
      <c r="Q7" s="24">
        <v>1607</v>
      </c>
      <c r="R7" s="24">
        <v>1198</v>
      </c>
      <c r="S7" s="26">
        <v>15264</v>
      </c>
      <c r="T7" s="26">
        <v>2264</v>
      </c>
      <c r="U7" s="26">
        <v>0.99</v>
      </c>
      <c r="V7" s="24">
        <v>10</v>
      </c>
    </row>
    <row r="8" spans="1:22" ht="14" customHeight="1" x14ac:dyDescent="0.2">
      <c r="A8" s="22" t="s">
        <v>64</v>
      </c>
      <c r="B8" s="22" t="s">
        <v>177</v>
      </c>
      <c r="C8" s="22" t="s">
        <v>189</v>
      </c>
      <c r="D8" s="22" t="s">
        <v>256</v>
      </c>
      <c r="E8" s="22">
        <v>321</v>
      </c>
      <c r="F8" s="22">
        <v>1284</v>
      </c>
      <c r="G8" s="22">
        <v>1983</v>
      </c>
      <c r="H8" s="26">
        <v>1186</v>
      </c>
      <c r="I8" s="22">
        <v>673</v>
      </c>
      <c r="J8" s="22">
        <v>621</v>
      </c>
      <c r="K8" s="22">
        <v>740</v>
      </c>
      <c r="L8" s="22">
        <v>864</v>
      </c>
      <c r="M8" s="22">
        <v>659</v>
      </c>
      <c r="N8" s="22">
        <v>779</v>
      </c>
      <c r="O8" s="22">
        <v>1086</v>
      </c>
      <c r="P8" s="22">
        <v>1928</v>
      </c>
      <c r="Q8" s="22">
        <v>1617</v>
      </c>
      <c r="R8" s="22">
        <v>1351</v>
      </c>
      <c r="S8" s="26">
        <v>15092</v>
      </c>
      <c r="T8" s="26">
        <v>1983</v>
      </c>
      <c r="U8" s="26">
        <v>0.97</v>
      </c>
      <c r="V8" s="22">
        <v>10</v>
      </c>
    </row>
    <row r="9" spans="1:22" ht="14" customHeight="1" x14ac:dyDescent="0.2">
      <c r="A9" s="24" t="s">
        <v>65</v>
      </c>
      <c r="B9" s="24" t="s">
        <v>191</v>
      </c>
      <c r="C9" s="24" t="s">
        <v>178</v>
      </c>
      <c r="D9" s="24" t="s">
        <v>257</v>
      </c>
      <c r="E9" s="24">
        <v>380</v>
      </c>
      <c r="F9" s="24">
        <v>1282</v>
      </c>
      <c r="G9" s="24">
        <v>2401</v>
      </c>
      <c r="H9" s="26">
        <v>1362</v>
      </c>
      <c r="I9" s="24">
        <v>807</v>
      </c>
      <c r="J9" s="24">
        <v>903</v>
      </c>
      <c r="K9" s="24">
        <v>983</v>
      </c>
      <c r="L9" s="24">
        <v>851</v>
      </c>
      <c r="M9" s="24">
        <v>872</v>
      </c>
      <c r="N9" s="24">
        <v>1054</v>
      </c>
      <c r="O9" s="24">
        <v>1146</v>
      </c>
      <c r="P9" s="24">
        <v>1958</v>
      </c>
      <c r="Q9" s="24">
        <v>2545</v>
      </c>
      <c r="R9" s="24">
        <v>1478</v>
      </c>
      <c r="S9" s="26">
        <v>18022</v>
      </c>
      <c r="T9" s="26">
        <v>2545</v>
      </c>
      <c r="U9" s="26">
        <v>0.99</v>
      </c>
      <c r="V9" s="24">
        <v>10</v>
      </c>
    </row>
    <row r="10" spans="1:22" ht="14" customHeight="1" x14ac:dyDescent="0.2">
      <c r="A10" s="22" t="s">
        <v>194</v>
      </c>
      <c r="B10" s="22" t="s">
        <v>191</v>
      </c>
      <c r="C10" s="22" t="s">
        <v>184</v>
      </c>
      <c r="D10" s="22" t="s">
        <v>257</v>
      </c>
      <c r="E10" s="22">
        <v>373</v>
      </c>
      <c r="F10" s="22">
        <v>1233</v>
      </c>
      <c r="G10" s="22">
        <v>2149</v>
      </c>
      <c r="H10" s="26">
        <v>1443</v>
      </c>
      <c r="I10" s="22">
        <v>825</v>
      </c>
      <c r="J10" s="22">
        <v>855</v>
      </c>
      <c r="K10" s="22">
        <v>874</v>
      </c>
      <c r="L10" s="22">
        <v>960</v>
      </c>
      <c r="M10" s="22">
        <v>892</v>
      </c>
      <c r="N10" s="22">
        <v>822</v>
      </c>
      <c r="O10" s="22">
        <v>1135</v>
      </c>
      <c r="P10" s="22">
        <v>2049</v>
      </c>
      <c r="Q10" s="22">
        <v>2149</v>
      </c>
      <c r="R10" s="22">
        <v>1459</v>
      </c>
      <c r="S10" s="26">
        <v>17218</v>
      </c>
      <c r="T10" s="26">
        <v>2149</v>
      </c>
      <c r="U10" s="26">
        <v>0.99</v>
      </c>
      <c r="V10" s="22">
        <v>10</v>
      </c>
    </row>
    <row r="11" spans="1:22" ht="14" customHeight="1" x14ac:dyDescent="0.2">
      <c r="A11" s="24" t="s">
        <v>196</v>
      </c>
      <c r="B11" s="24" t="s">
        <v>191</v>
      </c>
      <c r="C11" s="24" t="s">
        <v>187</v>
      </c>
      <c r="D11" s="24" t="s">
        <v>257</v>
      </c>
      <c r="E11" s="24">
        <v>386</v>
      </c>
      <c r="F11" s="24">
        <v>1628</v>
      </c>
      <c r="G11" s="24">
        <v>1837</v>
      </c>
      <c r="H11" s="26">
        <v>1363</v>
      </c>
      <c r="I11" s="24">
        <v>829</v>
      </c>
      <c r="J11" s="24">
        <v>771</v>
      </c>
      <c r="K11" s="24">
        <v>800</v>
      </c>
      <c r="L11" s="24">
        <v>862</v>
      </c>
      <c r="M11" s="24">
        <v>753</v>
      </c>
      <c r="N11" s="24">
        <v>1050</v>
      </c>
      <c r="O11" s="24">
        <v>1250</v>
      </c>
      <c r="P11" s="24">
        <v>1917</v>
      </c>
      <c r="Q11" s="24">
        <v>1830</v>
      </c>
      <c r="R11" s="24">
        <v>1485</v>
      </c>
      <c r="S11" s="26">
        <v>16761</v>
      </c>
      <c r="T11" s="26">
        <v>1917</v>
      </c>
      <c r="U11" s="26">
        <v>0.9</v>
      </c>
      <c r="V11" s="24">
        <v>10.3</v>
      </c>
    </row>
    <row r="12" spans="1:22" ht="14" customHeight="1" x14ac:dyDescent="0.2">
      <c r="A12" s="22" t="s">
        <v>77</v>
      </c>
      <c r="B12" s="22" t="s">
        <v>191</v>
      </c>
      <c r="C12" s="22" t="s">
        <v>188</v>
      </c>
      <c r="D12" s="22" t="s">
        <v>257</v>
      </c>
      <c r="E12" s="22">
        <v>343</v>
      </c>
      <c r="F12" s="22">
        <v>1599</v>
      </c>
      <c r="G12" s="22">
        <v>2080</v>
      </c>
      <c r="H12" s="26">
        <v>1228</v>
      </c>
      <c r="I12" s="22">
        <v>813</v>
      </c>
      <c r="J12" s="22">
        <v>859</v>
      </c>
      <c r="K12" s="22">
        <v>842</v>
      </c>
      <c r="L12" s="22">
        <v>775</v>
      </c>
      <c r="M12" s="22">
        <v>785</v>
      </c>
      <c r="N12" s="22">
        <v>915</v>
      </c>
      <c r="O12" s="22">
        <v>1120</v>
      </c>
      <c r="P12" s="22">
        <v>1923</v>
      </c>
      <c r="Q12" s="22">
        <v>2057</v>
      </c>
      <c r="R12" s="22">
        <v>1384</v>
      </c>
      <c r="S12" s="26">
        <v>16723</v>
      </c>
      <c r="T12" s="26">
        <v>2080</v>
      </c>
      <c r="U12" s="26">
        <v>0.99</v>
      </c>
      <c r="V12" s="22">
        <v>10</v>
      </c>
    </row>
    <row r="13" spans="1:22" ht="14" customHeight="1" x14ac:dyDescent="0.2">
      <c r="A13" s="24" t="s">
        <v>71</v>
      </c>
      <c r="B13" s="24" t="s">
        <v>191</v>
      </c>
      <c r="C13" s="24" t="s">
        <v>189</v>
      </c>
      <c r="D13" s="24" t="s">
        <v>257</v>
      </c>
      <c r="E13" s="24">
        <v>328</v>
      </c>
      <c r="F13" s="24">
        <v>1501</v>
      </c>
      <c r="G13" s="24">
        <v>1899</v>
      </c>
      <c r="H13" s="26">
        <v>1370</v>
      </c>
      <c r="I13" s="24">
        <v>851</v>
      </c>
      <c r="J13" s="24">
        <v>865</v>
      </c>
      <c r="K13" s="24">
        <v>947</v>
      </c>
      <c r="L13" s="24">
        <v>1027</v>
      </c>
      <c r="M13" s="24">
        <v>885</v>
      </c>
      <c r="N13" s="24">
        <v>1001</v>
      </c>
      <c r="O13" s="24">
        <v>1279</v>
      </c>
      <c r="P13" s="24">
        <v>1883</v>
      </c>
      <c r="Q13" s="24">
        <v>2101</v>
      </c>
      <c r="R13" s="24">
        <v>1588</v>
      </c>
      <c r="S13" s="26">
        <v>17525</v>
      </c>
      <c r="T13" s="26">
        <v>2101</v>
      </c>
      <c r="U13" s="26">
        <v>0.99</v>
      </c>
      <c r="V13" s="24">
        <v>10</v>
      </c>
    </row>
    <row r="14" spans="1:22" ht="14" customHeight="1" x14ac:dyDescent="0.2">
      <c r="A14" s="22" t="s">
        <v>202</v>
      </c>
      <c r="B14" s="22" t="s">
        <v>203</v>
      </c>
      <c r="C14" s="22" t="s">
        <v>178</v>
      </c>
      <c r="D14" s="22" t="s">
        <v>257</v>
      </c>
      <c r="E14" s="22">
        <v>317</v>
      </c>
      <c r="F14" s="22">
        <v>1352</v>
      </c>
      <c r="G14" s="22">
        <v>1947</v>
      </c>
      <c r="H14" s="26">
        <v>1323</v>
      </c>
      <c r="I14" s="22">
        <v>783</v>
      </c>
      <c r="J14" s="22">
        <v>750</v>
      </c>
      <c r="K14" s="22">
        <v>789</v>
      </c>
      <c r="L14" s="22">
        <v>971</v>
      </c>
      <c r="M14" s="22">
        <v>889</v>
      </c>
      <c r="N14" s="22">
        <v>1048</v>
      </c>
      <c r="O14" s="22">
        <v>982</v>
      </c>
      <c r="P14" s="22">
        <v>2024</v>
      </c>
      <c r="Q14" s="22">
        <v>2581</v>
      </c>
      <c r="R14" s="22">
        <v>1532</v>
      </c>
      <c r="S14" s="26">
        <v>17288</v>
      </c>
      <c r="T14" s="26">
        <v>2581</v>
      </c>
      <c r="U14" s="26">
        <v>0.99</v>
      </c>
      <c r="V14" s="22">
        <v>10</v>
      </c>
    </row>
    <row r="15" spans="1:22" ht="14" customHeight="1" x14ac:dyDescent="0.2">
      <c r="A15" s="24" t="s">
        <v>72</v>
      </c>
      <c r="B15" s="24" t="s">
        <v>203</v>
      </c>
      <c r="C15" s="24" t="s">
        <v>184</v>
      </c>
      <c r="D15" s="24" t="s">
        <v>257</v>
      </c>
      <c r="E15" s="24">
        <v>325</v>
      </c>
      <c r="F15" s="24">
        <v>1321</v>
      </c>
      <c r="G15" s="24">
        <v>2077</v>
      </c>
      <c r="H15" s="26">
        <v>1236</v>
      </c>
      <c r="I15" s="24">
        <v>750</v>
      </c>
      <c r="J15" s="24">
        <v>713</v>
      </c>
      <c r="K15" s="24">
        <v>842</v>
      </c>
      <c r="L15" s="24">
        <v>837</v>
      </c>
      <c r="M15" s="24">
        <v>761</v>
      </c>
      <c r="N15" s="24">
        <v>801</v>
      </c>
      <c r="O15" s="24">
        <v>1004</v>
      </c>
      <c r="P15" s="24">
        <v>2066</v>
      </c>
      <c r="Q15" s="24">
        <v>2465</v>
      </c>
      <c r="R15" s="24">
        <v>1277</v>
      </c>
      <c r="S15" s="26">
        <v>16475</v>
      </c>
      <c r="T15" s="26">
        <v>2465</v>
      </c>
      <c r="U15" s="26">
        <v>0.99</v>
      </c>
      <c r="V15" s="24">
        <v>10</v>
      </c>
    </row>
    <row r="16" spans="1:22" ht="14" customHeight="1" x14ac:dyDescent="0.2">
      <c r="A16" s="22" t="s">
        <v>90</v>
      </c>
      <c r="B16" s="22" t="s">
        <v>203</v>
      </c>
      <c r="C16" s="22" t="s">
        <v>187</v>
      </c>
      <c r="D16" s="22" t="s">
        <v>257</v>
      </c>
      <c r="E16" s="22">
        <v>400</v>
      </c>
      <c r="F16" s="22">
        <v>1629</v>
      </c>
      <c r="G16" s="22">
        <v>2274</v>
      </c>
      <c r="H16" s="26">
        <v>1412</v>
      </c>
      <c r="I16" s="22">
        <v>672</v>
      </c>
      <c r="J16" s="22">
        <v>715</v>
      </c>
      <c r="K16" s="22">
        <v>820</v>
      </c>
      <c r="L16" s="22">
        <v>1012</v>
      </c>
      <c r="M16" s="22">
        <v>789</v>
      </c>
      <c r="N16" s="22">
        <v>902</v>
      </c>
      <c r="O16" s="22">
        <v>1307</v>
      </c>
      <c r="P16" s="22">
        <v>1629</v>
      </c>
      <c r="Q16" s="22">
        <v>2153</v>
      </c>
      <c r="R16" s="22">
        <v>1614</v>
      </c>
      <c r="S16" s="26">
        <v>17328</v>
      </c>
      <c r="T16" s="26">
        <v>2274</v>
      </c>
      <c r="U16" s="26">
        <v>0.99</v>
      </c>
      <c r="V16" s="22">
        <v>10</v>
      </c>
    </row>
    <row r="17" spans="1:22" ht="14" customHeight="1" x14ac:dyDescent="0.2">
      <c r="A17" s="24" t="s">
        <v>207</v>
      </c>
      <c r="B17" s="24" t="s">
        <v>203</v>
      </c>
      <c r="C17" s="24" t="s">
        <v>188</v>
      </c>
      <c r="D17" s="24" t="s">
        <v>257</v>
      </c>
      <c r="E17" s="24">
        <v>394</v>
      </c>
      <c r="F17" s="24">
        <v>1420</v>
      </c>
      <c r="G17" s="24">
        <v>2307</v>
      </c>
      <c r="H17" s="26">
        <v>1359</v>
      </c>
      <c r="I17" s="24">
        <v>844</v>
      </c>
      <c r="J17" s="24">
        <v>730</v>
      </c>
      <c r="K17" s="24">
        <v>829</v>
      </c>
      <c r="L17" s="24">
        <v>1057</v>
      </c>
      <c r="M17" s="24">
        <v>827</v>
      </c>
      <c r="N17" s="24">
        <v>1008</v>
      </c>
      <c r="O17" s="24">
        <v>1157</v>
      </c>
      <c r="P17" s="24">
        <v>2308</v>
      </c>
      <c r="Q17" s="24">
        <v>2186</v>
      </c>
      <c r="R17" s="24">
        <v>1495</v>
      </c>
      <c r="S17" s="26">
        <v>17921</v>
      </c>
      <c r="T17" s="26">
        <v>2308</v>
      </c>
      <c r="U17" s="26">
        <v>0.99</v>
      </c>
      <c r="V17" s="24">
        <v>10</v>
      </c>
    </row>
    <row r="18" spans="1:22" ht="14" customHeight="1" x14ac:dyDescent="0.2">
      <c r="A18" s="22" t="s">
        <v>84</v>
      </c>
      <c r="B18" s="22" t="s">
        <v>203</v>
      </c>
      <c r="C18" s="22" t="s">
        <v>189</v>
      </c>
      <c r="D18" s="22" t="s">
        <v>257</v>
      </c>
      <c r="E18" s="22">
        <v>370</v>
      </c>
      <c r="F18" s="22">
        <v>1467</v>
      </c>
      <c r="G18" s="22">
        <v>2155</v>
      </c>
      <c r="H18" s="26">
        <v>1379</v>
      </c>
      <c r="I18" s="22">
        <v>719</v>
      </c>
      <c r="J18" s="22">
        <v>775</v>
      </c>
      <c r="K18" s="22">
        <v>839</v>
      </c>
      <c r="L18" s="22">
        <v>948</v>
      </c>
      <c r="M18" s="22">
        <v>843</v>
      </c>
      <c r="N18" s="22">
        <v>880</v>
      </c>
      <c r="O18" s="22">
        <v>1047</v>
      </c>
      <c r="P18" s="22">
        <v>2094</v>
      </c>
      <c r="Q18" s="22">
        <v>2343</v>
      </c>
      <c r="R18" s="22">
        <v>1573</v>
      </c>
      <c r="S18" s="26">
        <v>17432</v>
      </c>
      <c r="T18" s="26">
        <v>2343</v>
      </c>
      <c r="U18" s="26">
        <v>0.99</v>
      </c>
      <c r="V18" s="22">
        <v>10</v>
      </c>
    </row>
    <row r="19" spans="1:22" ht="14" customHeight="1" x14ac:dyDescent="0.2">
      <c r="A19" s="24" t="s">
        <v>94</v>
      </c>
      <c r="B19" s="24" t="s">
        <v>211</v>
      </c>
      <c r="C19" s="24" t="s">
        <v>178</v>
      </c>
      <c r="D19" s="24" t="s">
        <v>258</v>
      </c>
      <c r="E19" s="24">
        <v>370</v>
      </c>
      <c r="F19" s="24">
        <v>1507</v>
      </c>
      <c r="G19" s="24">
        <v>2067</v>
      </c>
      <c r="H19" s="26">
        <v>1389</v>
      </c>
      <c r="I19" s="24">
        <v>816</v>
      </c>
      <c r="J19" s="24">
        <v>664</v>
      </c>
      <c r="K19" s="24">
        <v>733</v>
      </c>
      <c r="L19" s="24">
        <v>973</v>
      </c>
      <c r="M19" s="24">
        <v>735</v>
      </c>
      <c r="N19" s="24">
        <v>954</v>
      </c>
      <c r="O19" s="24">
        <v>1249</v>
      </c>
      <c r="P19" s="24">
        <v>1734</v>
      </c>
      <c r="Q19" s="24">
        <v>1902</v>
      </c>
      <c r="R19" s="24">
        <v>1234</v>
      </c>
      <c r="S19" s="26">
        <v>16327</v>
      </c>
      <c r="T19" s="26">
        <v>2067</v>
      </c>
      <c r="U19" s="26">
        <v>0.99</v>
      </c>
      <c r="V19" s="24">
        <v>10</v>
      </c>
    </row>
    <row r="20" spans="1:22" ht="14" customHeight="1" x14ac:dyDescent="0.2">
      <c r="A20" s="22" t="s">
        <v>97</v>
      </c>
      <c r="B20" s="22" t="s">
        <v>211</v>
      </c>
      <c r="C20" s="22" t="s">
        <v>184</v>
      </c>
      <c r="D20" s="22" t="s">
        <v>258</v>
      </c>
      <c r="E20" s="22">
        <v>413</v>
      </c>
      <c r="F20" s="22">
        <v>1436</v>
      </c>
      <c r="G20" s="22">
        <v>2264</v>
      </c>
      <c r="H20" s="26">
        <v>1504</v>
      </c>
      <c r="I20" s="22">
        <v>799</v>
      </c>
      <c r="J20" s="22">
        <v>643</v>
      </c>
      <c r="K20" s="22">
        <v>939</v>
      </c>
      <c r="L20" s="22">
        <v>971</v>
      </c>
      <c r="M20" s="22">
        <v>773</v>
      </c>
      <c r="N20" s="22">
        <v>766</v>
      </c>
      <c r="O20" s="22">
        <v>1090</v>
      </c>
      <c r="P20" s="22">
        <v>2054</v>
      </c>
      <c r="Q20" s="22">
        <v>2364</v>
      </c>
      <c r="R20" s="22">
        <v>1500</v>
      </c>
      <c r="S20" s="26">
        <v>17516</v>
      </c>
      <c r="T20" s="26">
        <v>2364</v>
      </c>
      <c r="U20" s="26">
        <v>0.99</v>
      </c>
      <c r="V20" s="22">
        <v>10</v>
      </c>
    </row>
    <row r="21" spans="1:22" ht="14" customHeight="1" x14ac:dyDescent="0.2">
      <c r="A21" s="24" t="s">
        <v>85</v>
      </c>
      <c r="B21" s="24" t="s">
        <v>211</v>
      </c>
      <c r="C21" s="24" t="s">
        <v>187</v>
      </c>
      <c r="D21" s="24" t="s">
        <v>258</v>
      </c>
      <c r="E21" s="24">
        <v>387</v>
      </c>
      <c r="F21" s="24">
        <v>1594</v>
      </c>
      <c r="G21" s="24">
        <v>2194</v>
      </c>
      <c r="H21" s="26">
        <v>1571</v>
      </c>
      <c r="I21" s="24">
        <v>715</v>
      </c>
      <c r="J21" s="24">
        <v>739</v>
      </c>
      <c r="K21" s="24">
        <v>723</v>
      </c>
      <c r="L21" s="24">
        <v>801</v>
      </c>
      <c r="M21" s="24">
        <v>825</v>
      </c>
      <c r="N21" s="24">
        <v>893</v>
      </c>
      <c r="O21" s="24">
        <v>1160</v>
      </c>
      <c r="P21" s="24">
        <v>2266</v>
      </c>
      <c r="Q21" s="24">
        <v>2385</v>
      </c>
      <c r="R21" s="24">
        <v>1682</v>
      </c>
      <c r="S21" s="26">
        <v>17935</v>
      </c>
      <c r="T21" s="26">
        <v>2385</v>
      </c>
      <c r="U21" s="26">
        <v>0.99</v>
      </c>
      <c r="V21" s="24">
        <v>10</v>
      </c>
    </row>
    <row r="22" spans="1:22" ht="14" customHeight="1" x14ac:dyDescent="0.2">
      <c r="A22" s="22" t="s">
        <v>214</v>
      </c>
      <c r="B22" s="22" t="s">
        <v>211</v>
      </c>
      <c r="C22" s="22" t="s">
        <v>188</v>
      </c>
      <c r="D22" s="22" t="s">
        <v>258</v>
      </c>
      <c r="E22" s="22">
        <v>410</v>
      </c>
      <c r="F22" s="22">
        <v>1461</v>
      </c>
      <c r="G22" s="22">
        <v>1841</v>
      </c>
      <c r="H22" s="26">
        <v>1461</v>
      </c>
      <c r="I22" s="22">
        <v>717</v>
      </c>
      <c r="J22" s="22">
        <v>826</v>
      </c>
      <c r="K22" s="22">
        <v>944</v>
      </c>
      <c r="L22" s="22">
        <v>844</v>
      </c>
      <c r="M22" s="22">
        <v>738</v>
      </c>
      <c r="N22" s="22">
        <v>838</v>
      </c>
      <c r="O22" s="22">
        <v>1095</v>
      </c>
      <c r="P22" s="22">
        <v>2188</v>
      </c>
      <c r="Q22" s="22">
        <v>2659</v>
      </c>
      <c r="R22" s="22">
        <v>1474</v>
      </c>
      <c r="S22" s="26">
        <v>17496</v>
      </c>
      <c r="T22" s="26">
        <v>2659</v>
      </c>
      <c r="U22" s="26">
        <v>0.99</v>
      </c>
      <c r="V22" s="22">
        <v>10</v>
      </c>
    </row>
    <row r="23" spans="1:22" ht="14" customHeight="1" x14ac:dyDescent="0.2">
      <c r="A23" s="24" t="s">
        <v>98</v>
      </c>
      <c r="B23" s="24" t="s">
        <v>211</v>
      </c>
      <c r="C23" s="24" t="s">
        <v>189</v>
      </c>
      <c r="D23" s="24" t="s">
        <v>258</v>
      </c>
      <c r="E23" s="24">
        <v>375</v>
      </c>
      <c r="F23" s="24">
        <v>1527</v>
      </c>
      <c r="G23" s="24">
        <v>2186</v>
      </c>
      <c r="H23" s="26">
        <v>1242</v>
      </c>
      <c r="I23" s="24">
        <v>759</v>
      </c>
      <c r="J23" s="24">
        <v>846</v>
      </c>
      <c r="K23" s="24">
        <v>848</v>
      </c>
      <c r="L23" s="24">
        <v>946</v>
      </c>
      <c r="M23" s="24">
        <v>912</v>
      </c>
      <c r="N23" s="24">
        <v>877</v>
      </c>
      <c r="O23" s="24">
        <v>1164</v>
      </c>
      <c r="P23" s="24">
        <v>1954</v>
      </c>
      <c r="Q23" s="24">
        <v>2509</v>
      </c>
      <c r="R23" s="24">
        <v>1474</v>
      </c>
      <c r="S23" s="26">
        <v>17619</v>
      </c>
      <c r="T23" s="26">
        <v>2509</v>
      </c>
      <c r="U23" s="26">
        <v>0.99</v>
      </c>
      <c r="V23" s="24">
        <v>10</v>
      </c>
    </row>
    <row r="24" spans="1:22" ht="14" customHeight="1" x14ac:dyDescent="0.2">
      <c r="A24" s="22" t="s">
        <v>217</v>
      </c>
      <c r="B24" s="22" t="s">
        <v>218</v>
      </c>
      <c r="C24" s="22" t="s">
        <v>178</v>
      </c>
      <c r="D24" s="22" t="s">
        <v>258</v>
      </c>
      <c r="E24" s="22">
        <v>399</v>
      </c>
      <c r="F24" s="22">
        <v>1482</v>
      </c>
      <c r="G24" s="22">
        <v>2296</v>
      </c>
      <c r="H24" s="26">
        <v>1394</v>
      </c>
      <c r="I24" s="22">
        <v>806</v>
      </c>
      <c r="J24" s="22">
        <v>742</v>
      </c>
      <c r="K24" s="22">
        <v>791</v>
      </c>
      <c r="L24" s="22">
        <v>858</v>
      </c>
      <c r="M24" s="22">
        <v>1013</v>
      </c>
      <c r="N24" s="22">
        <v>844</v>
      </c>
      <c r="O24" s="22">
        <v>1204</v>
      </c>
      <c r="P24" s="22">
        <v>2101</v>
      </c>
      <c r="Q24" s="22">
        <v>2199</v>
      </c>
      <c r="R24" s="22">
        <v>1570</v>
      </c>
      <c r="S24" s="26">
        <v>17699</v>
      </c>
      <c r="T24" s="26">
        <v>2296</v>
      </c>
      <c r="U24" s="26">
        <v>0.99</v>
      </c>
      <c r="V24" s="22">
        <v>10</v>
      </c>
    </row>
    <row r="25" spans="1:22" ht="14" customHeight="1" x14ac:dyDescent="0.2">
      <c r="A25" s="24" t="s">
        <v>99</v>
      </c>
      <c r="B25" s="24" t="s">
        <v>218</v>
      </c>
      <c r="C25" s="24" t="s">
        <v>184</v>
      </c>
      <c r="D25" s="24" t="s">
        <v>258</v>
      </c>
      <c r="E25" s="24">
        <v>405</v>
      </c>
      <c r="F25" s="24">
        <v>1744</v>
      </c>
      <c r="G25" s="24">
        <v>2091</v>
      </c>
      <c r="H25" s="26">
        <v>1451</v>
      </c>
      <c r="I25" s="24">
        <v>865</v>
      </c>
      <c r="J25" s="24">
        <v>694</v>
      </c>
      <c r="K25" s="24">
        <v>954</v>
      </c>
      <c r="L25" s="24">
        <v>855</v>
      </c>
      <c r="M25" s="24">
        <v>823</v>
      </c>
      <c r="N25" s="24">
        <v>938</v>
      </c>
      <c r="O25" s="24">
        <v>1066</v>
      </c>
      <c r="P25" s="24">
        <v>1920</v>
      </c>
      <c r="Q25" s="24">
        <v>2091</v>
      </c>
      <c r="R25" s="24">
        <v>1435</v>
      </c>
      <c r="S25" s="26">
        <v>17332</v>
      </c>
      <c r="T25" s="26">
        <v>2091</v>
      </c>
      <c r="U25" s="26">
        <v>0.99</v>
      </c>
      <c r="V25" s="24">
        <v>10</v>
      </c>
    </row>
    <row r="26" spans="1:22" ht="14" customHeight="1" x14ac:dyDescent="0.2">
      <c r="A26" s="22" t="s">
        <v>108</v>
      </c>
      <c r="B26" s="22" t="s">
        <v>218</v>
      </c>
      <c r="C26" s="22" t="s">
        <v>187</v>
      </c>
      <c r="D26" s="22" t="s">
        <v>258</v>
      </c>
      <c r="E26" s="22">
        <v>386</v>
      </c>
      <c r="F26" s="22">
        <v>1647</v>
      </c>
      <c r="G26" s="22">
        <v>2323</v>
      </c>
      <c r="H26" s="26">
        <v>1209</v>
      </c>
      <c r="I26" s="22">
        <v>890</v>
      </c>
      <c r="J26" s="22">
        <v>820</v>
      </c>
      <c r="K26" s="22">
        <v>851</v>
      </c>
      <c r="L26" s="22">
        <v>951</v>
      </c>
      <c r="M26" s="22">
        <v>814</v>
      </c>
      <c r="N26" s="22">
        <v>994</v>
      </c>
      <c r="O26" s="22">
        <v>1112</v>
      </c>
      <c r="P26" s="22">
        <v>2216</v>
      </c>
      <c r="Q26" s="22">
        <v>2534</v>
      </c>
      <c r="R26" s="22">
        <v>1389</v>
      </c>
      <c r="S26" s="26">
        <v>18136</v>
      </c>
      <c r="T26" s="26">
        <v>2534</v>
      </c>
      <c r="U26" s="26">
        <v>0.99</v>
      </c>
      <c r="V26" s="22">
        <v>10</v>
      </c>
    </row>
    <row r="27" spans="1:22" ht="14" customHeight="1" x14ac:dyDescent="0.2">
      <c r="A27" s="24" t="s">
        <v>113</v>
      </c>
      <c r="B27" s="24" t="s">
        <v>218</v>
      </c>
      <c r="C27" s="24" t="s">
        <v>188</v>
      </c>
      <c r="D27" s="24" t="s">
        <v>258</v>
      </c>
      <c r="E27" s="24">
        <v>365</v>
      </c>
      <c r="F27" s="24">
        <v>1368</v>
      </c>
      <c r="G27" s="24">
        <v>2531</v>
      </c>
      <c r="H27" s="26">
        <v>1420</v>
      </c>
      <c r="I27" s="24">
        <v>754</v>
      </c>
      <c r="J27" s="24">
        <v>820</v>
      </c>
      <c r="K27" s="24">
        <v>961</v>
      </c>
      <c r="L27" s="24">
        <v>865</v>
      </c>
      <c r="M27" s="24">
        <v>779</v>
      </c>
      <c r="N27" s="24">
        <v>846</v>
      </c>
      <c r="O27" s="24">
        <v>1196</v>
      </c>
      <c r="P27" s="24">
        <v>1676</v>
      </c>
      <c r="Q27" s="24">
        <v>2427</v>
      </c>
      <c r="R27" s="24">
        <v>1513</v>
      </c>
      <c r="S27" s="26">
        <v>17521</v>
      </c>
      <c r="T27" s="26">
        <v>2531</v>
      </c>
      <c r="U27" s="26">
        <v>0.99</v>
      </c>
      <c r="V27" s="24">
        <v>10</v>
      </c>
    </row>
    <row r="28" spans="1:22" ht="14" customHeight="1" x14ac:dyDescent="0.2">
      <c r="A28" s="22" t="s">
        <v>220</v>
      </c>
      <c r="B28" s="22" t="s">
        <v>218</v>
      </c>
      <c r="C28" s="22" t="s">
        <v>189</v>
      </c>
      <c r="D28" s="22" t="s">
        <v>258</v>
      </c>
      <c r="E28" s="22">
        <v>330</v>
      </c>
      <c r="F28" s="22">
        <v>1394</v>
      </c>
      <c r="G28" s="22">
        <v>2369</v>
      </c>
      <c r="H28" s="26">
        <v>1233</v>
      </c>
      <c r="I28" s="22">
        <v>797</v>
      </c>
      <c r="J28" s="22">
        <v>775</v>
      </c>
      <c r="K28" s="22">
        <v>855</v>
      </c>
      <c r="L28" s="22">
        <v>834</v>
      </c>
      <c r="M28" s="22">
        <v>795</v>
      </c>
      <c r="N28" s="22">
        <v>948</v>
      </c>
      <c r="O28" s="22">
        <v>1199</v>
      </c>
      <c r="P28" s="22">
        <v>2295</v>
      </c>
      <c r="Q28" s="22">
        <v>2085</v>
      </c>
      <c r="R28" s="22">
        <v>1631</v>
      </c>
      <c r="S28" s="26">
        <v>17540</v>
      </c>
      <c r="T28" s="26">
        <v>2369</v>
      </c>
      <c r="U28" s="26">
        <v>0.99</v>
      </c>
      <c r="V28" s="22">
        <v>10</v>
      </c>
    </row>
    <row r="29" spans="1:22" ht="14" customHeight="1" x14ac:dyDescent="0.2">
      <c r="A29" s="24" t="s">
        <v>221</v>
      </c>
      <c r="B29" s="24" t="s">
        <v>222</v>
      </c>
      <c r="C29" s="24" t="s">
        <v>178</v>
      </c>
      <c r="D29" s="24" t="s">
        <v>259</v>
      </c>
      <c r="E29" s="24">
        <v>395</v>
      </c>
      <c r="F29" s="24">
        <v>1497</v>
      </c>
      <c r="G29" s="24">
        <v>2073</v>
      </c>
      <c r="H29" s="26">
        <v>1439</v>
      </c>
      <c r="I29" s="24">
        <v>884</v>
      </c>
      <c r="J29" s="24">
        <v>841</v>
      </c>
      <c r="K29" s="24">
        <v>947</v>
      </c>
      <c r="L29" s="24">
        <v>916</v>
      </c>
      <c r="M29" s="24">
        <v>841</v>
      </c>
      <c r="N29" s="24">
        <v>894</v>
      </c>
      <c r="O29" s="24">
        <v>1111</v>
      </c>
      <c r="P29" s="24">
        <v>1699</v>
      </c>
      <c r="Q29" s="24">
        <v>2410</v>
      </c>
      <c r="R29" s="24">
        <v>1625</v>
      </c>
      <c r="S29" s="26">
        <v>17572</v>
      </c>
      <c r="T29" s="26">
        <v>2410</v>
      </c>
      <c r="U29" s="26">
        <v>0.99</v>
      </c>
      <c r="V29" s="24">
        <v>10</v>
      </c>
    </row>
    <row r="30" spans="1:22" ht="14" customHeight="1" x14ac:dyDescent="0.2">
      <c r="A30" s="22" t="s">
        <v>109</v>
      </c>
      <c r="B30" s="22" t="s">
        <v>222</v>
      </c>
      <c r="C30" s="22" t="s">
        <v>184</v>
      </c>
      <c r="D30" s="22" t="s">
        <v>259</v>
      </c>
      <c r="E30" s="22">
        <v>395</v>
      </c>
      <c r="F30" s="22">
        <v>1677</v>
      </c>
      <c r="G30" s="22">
        <v>1844</v>
      </c>
      <c r="H30" s="26">
        <v>1398</v>
      </c>
      <c r="I30" s="22">
        <v>967</v>
      </c>
      <c r="J30" s="22">
        <v>876</v>
      </c>
      <c r="K30" s="22">
        <v>1004</v>
      </c>
      <c r="L30" s="22">
        <v>938</v>
      </c>
      <c r="M30" s="22">
        <v>747</v>
      </c>
      <c r="N30" s="22">
        <v>939</v>
      </c>
      <c r="O30" s="22">
        <v>1180</v>
      </c>
      <c r="P30" s="22">
        <v>2344</v>
      </c>
      <c r="Q30" s="22">
        <v>1862</v>
      </c>
      <c r="R30" s="22">
        <v>1422</v>
      </c>
      <c r="S30" s="26">
        <v>17593</v>
      </c>
      <c r="T30" s="26">
        <v>2344</v>
      </c>
      <c r="U30" s="26">
        <v>0.99</v>
      </c>
      <c r="V30" s="22">
        <v>10</v>
      </c>
    </row>
    <row r="31" spans="1:22" ht="14" customHeight="1" x14ac:dyDescent="0.2">
      <c r="A31" s="24" t="s">
        <v>127</v>
      </c>
      <c r="B31" s="24" t="s">
        <v>222</v>
      </c>
      <c r="C31" s="24" t="s">
        <v>187</v>
      </c>
      <c r="D31" s="24" t="s">
        <v>259</v>
      </c>
      <c r="E31" s="24">
        <v>314</v>
      </c>
      <c r="F31" s="24">
        <v>1737</v>
      </c>
      <c r="G31" s="24">
        <v>1948</v>
      </c>
      <c r="H31" s="26">
        <v>1357</v>
      </c>
      <c r="I31" s="24">
        <v>774</v>
      </c>
      <c r="J31" s="24">
        <v>738</v>
      </c>
      <c r="K31" s="24">
        <v>772</v>
      </c>
      <c r="L31" s="24">
        <v>1001</v>
      </c>
      <c r="M31" s="24">
        <v>916</v>
      </c>
      <c r="N31" s="24">
        <v>908</v>
      </c>
      <c r="O31" s="24">
        <v>1009</v>
      </c>
      <c r="P31" s="24">
        <v>1951</v>
      </c>
      <c r="Q31" s="24">
        <v>2178</v>
      </c>
      <c r="R31" s="24">
        <v>1423</v>
      </c>
      <c r="S31" s="26">
        <v>17026</v>
      </c>
      <c r="T31" s="26">
        <v>2178</v>
      </c>
      <c r="U31" s="26">
        <v>0.99</v>
      </c>
      <c r="V31" s="24">
        <v>10</v>
      </c>
    </row>
    <row r="32" spans="1:22" ht="14" customHeight="1" x14ac:dyDescent="0.2">
      <c r="A32" s="22" t="s">
        <v>110</v>
      </c>
      <c r="B32" s="22" t="s">
        <v>222</v>
      </c>
      <c r="C32" s="22" t="s">
        <v>188</v>
      </c>
      <c r="D32" s="22" t="s">
        <v>259</v>
      </c>
      <c r="E32" s="22">
        <v>344</v>
      </c>
      <c r="F32" s="22">
        <v>1651</v>
      </c>
      <c r="G32" s="22">
        <v>1971</v>
      </c>
      <c r="H32" s="26">
        <v>1160</v>
      </c>
      <c r="I32" s="22">
        <v>874</v>
      </c>
      <c r="J32" s="22">
        <v>812</v>
      </c>
      <c r="K32" s="22">
        <v>793</v>
      </c>
      <c r="L32" s="22">
        <v>934</v>
      </c>
      <c r="M32" s="22">
        <v>774</v>
      </c>
      <c r="N32" s="22">
        <v>865</v>
      </c>
      <c r="O32" s="22">
        <v>981</v>
      </c>
      <c r="P32" s="22">
        <v>2094</v>
      </c>
      <c r="Q32" s="22">
        <v>2156</v>
      </c>
      <c r="R32" s="22">
        <v>1406</v>
      </c>
      <c r="S32" s="26">
        <v>16815</v>
      </c>
      <c r="T32" s="26">
        <v>2156</v>
      </c>
      <c r="U32" s="26">
        <v>0.99</v>
      </c>
      <c r="V32" s="22">
        <v>10</v>
      </c>
    </row>
    <row r="33" spans="1:22" ht="14" customHeight="1" x14ac:dyDescent="0.2">
      <c r="A33" s="24" t="s">
        <v>119</v>
      </c>
      <c r="B33" s="24" t="s">
        <v>222</v>
      </c>
      <c r="C33" s="24" t="s">
        <v>189</v>
      </c>
      <c r="D33" s="24" t="s">
        <v>259</v>
      </c>
      <c r="E33" s="24">
        <v>324</v>
      </c>
      <c r="F33" s="24">
        <v>1392</v>
      </c>
      <c r="G33" s="24">
        <v>1952</v>
      </c>
      <c r="H33" s="26">
        <v>1227</v>
      </c>
      <c r="I33" s="24">
        <v>686</v>
      </c>
      <c r="J33" s="24">
        <v>809</v>
      </c>
      <c r="K33" s="24">
        <v>899</v>
      </c>
      <c r="L33" s="24">
        <v>983</v>
      </c>
      <c r="M33" s="24">
        <v>762</v>
      </c>
      <c r="N33" s="24">
        <v>929</v>
      </c>
      <c r="O33" s="24">
        <v>1275</v>
      </c>
      <c r="P33" s="24">
        <v>1987</v>
      </c>
      <c r="Q33" s="24">
        <v>2198</v>
      </c>
      <c r="R33" s="24">
        <v>1449</v>
      </c>
      <c r="S33" s="26">
        <v>16872</v>
      </c>
      <c r="T33" s="26">
        <v>2198</v>
      </c>
      <c r="U33" s="26">
        <v>0.99</v>
      </c>
      <c r="V33" s="24">
        <v>10</v>
      </c>
    </row>
    <row r="34" spans="1:22" ht="14" customHeight="1" x14ac:dyDescent="0.2">
      <c r="A34" s="22" t="s">
        <v>128</v>
      </c>
      <c r="B34" s="22" t="s">
        <v>226</v>
      </c>
      <c r="C34" s="22" t="s">
        <v>178</v>
      </c>
      <c r="D34" s="22" t="s">
        <v>259</v>
      </c>
      <c r="E34" s="22">
        <v>371</v>
      </c>
      <c r="F34" s="22">
        <v>1367</v>
      </c>
      <c r="G34" s="22">
        <v>1780</v>
      </c>
      <c r="H34" s="26">
        <v>1417</v>
      </c>
      <c r="I34" s="22">
        <v>853</v>
      </c>
      <c r="J34" s="22">
        <v>760</v>
      </c>
      <c r="K34" s="22">
        <v>808</v>
      </c>
      <c r="L34" s="22">
        <v>1028</v>
      </c>
      <c r="M34" s="22">
        <v>915</v>
      </c>
      <c r="N34" s="22">
        <v>915</v>
      </c>
      <c r="O34" s="22">
        <v>1046</v>
      </c>
      <c r="P34" s="22">
        <v>1898</v>
      </c>
      <c r="Q34" s="22">
        <v>1953</v>
      </c>
      <c r="R34" s="22">
        <v>1510</v>
      </c>
      <c r="S34" s="26">
        <v>16621</v>
      </c>
      <c r="T34" s="26">
        <v>1953</v>
      </c>
      <c r="U34" s="26">
        <v>0.91</v>
      </c>
      <c r="V34" s="22">
        <v>10</v>
      </c>
    </row>
    <row r="35" spans="1:22" ht="14" customHeight="1" x14ac:dyDescent="0.2">
      <c r="A35" s="24" t="s">
        <v>129</v>
      </c>
      <c r="B35" s="24" t="s">
        <v>226</v>
      </c>
      <c r="C35" s="24" t="s">
        <v>184</v>
      </c>
      <c r="D35" s="24" t="s">
        <v>259</v>
      </c>
      <c r="E35" s="24">
        <v>371</v>
      </c>
      <c r="F35" s="24">
        <v>1470</v>
      </c>
      <c r="G35" s="24">
        <v>1976</v>
      </c>
      <c r="H35" s="26">
        <v>1478</v>
      </c>
      <c r="I35" s="24">
        <v>840</v>
      </c>
      <c r="J35" s="24">
        <v>678</v>
      </c>
      <c r="K35" s="24">
        <v>849</v>
      </c>
      <c r="L35" s="24">
        <v>1042</v>
      </c>
      <c r="M35" s="24">
        <v>963</v>
      </c>
      <c r="N35" s="24">
        <v>914</v>
      </c>
      <c r="O35" s="24">
        <v>1074</v>
      </c>
      <c r="P35" s="24">
        <v>1951</v>
      </c>
      <c r="Q35" s="24">
        <v>2111</v>
      </c>
      <c r="R35" s="24">
        <v>1517</v>
      </c>
      <c r="S35" s="26">
        <v>17234</v>
      </c>
      <c r="T35" s="26">
        <v>2111</v>
      </c>
      <c r="U35" s="26">
        <v>0.99</v>
      </c>
      <c r="V35" s="24">
        <v>10</v>
      </c>
    </row>
    <row r="36" spans="1:22" ht="14" customHeight="1" x14ac:dyDescent="0.2">
      <c r="A36" s="22" t="s">
        <v>139</v>
      </c>
      <c r="B36" s="22" t="s">
        <v>226</v>
      </c>
      <c r="C36" s="22" t="s">
        <v>187</v>
      </c>
      <c r="D36" s="22" t="s">
        <v>259</v>
      </c>
      <c r="E36" s="22">
        <v>434</v>
      </c>
      <c r="F36" s="22">
        <v>1637</v>
      </c>
      <c r="G36" s="22">
        <v>1944</v>
      </c>
      <c r="H36" s="26">
        <v>1602</v>
      </c>
      <c r="I36" s="22">
        <v>722</v>
      </c>
      <c r="J36" s="22">
        <v>769</v>
      </c>
      <c r="K36" s="22">
        <v>743</v>
      </c>
      <c r="L36" s="22">
        <v>1013</v>
      </c>
      <c r="M36" s="22">
        <v>764</v>
      </c>
      <c r="N36" s="22">
        <v>863</v>
      </c>
      <c r="O36" s="22">
        <v>1117</v>
      </c>
      <c r="P36" s="22">
        <v>1891</v>
      </c>
      <c r="Q36" s="22">
        <v>2204</v>
      </c>
      <c r="R36" s="22">
        <v>1607</v>
      </c>
      <c r="S36" s="26">
        <v>17310</v>
      </c>
      <c r="T36" s="26">
        <v>2204</v>
      </c>
      <c r="U36" s="26">
        <v>0.99</v>
      </c>
      <c r="V36" s="22">
        <v>10</v>
      </c>
    </row>
    <row r="37" spans="1:22" ht="14" customHeight="1" x14ac:dyDescent="0.2">
      <c r="A37" s="24" t="s">
        <v>120</v>
      </c>
      <c r="B37" s="24" t="s">
        <v>226</v>
      </c>
      <c r="C37" s="24" t="s">
        <v>188</v>
      </c>
      <c r="D37" s="24" t="s">
        <v>259</v>
      </c>
      <c r="E37" s="24">
        <v>345</v>
      </c>
      <c r="F37" s="24">
        <v>1475</v>
      </c>
      <c r="G37" s="24">
        <v>2159</v>
      </c>
      <c r="H37" s="26">
        <v>1278</v>
      </c>
      <c r="I37" s="24">
        <v>800</v>
      </c>
      <c r="J37" s="24">
        <v>718</v>
      </c>
      <c r="K37" s="24">
        <v>887</v>
      </c>
      <c r="L37" s="24">
        <v>873</v>
      </c>
      <c r="M37" s="24">
        <v>834</v>
      </c>
      <c r="N37" s="24">
        <v>780</v>
      </c>
      <c r="O37" s="24">
        <v>967</v>
      </c>
      <c r="P37" s="24">
        <v>1810</v>
      </c>
      <c r="Q37" s="24">
        <v>2016</v>
      </c>
      <c r="R37" s="24">
        <v>1337</v>
      </c>
      <c r="S37" s="26">
        <v>16279</v>
      </c>
      <c r="T37" s="26">
        <v>2159</v>
      </c>
      <c r="U37" s="26">
        <v>0.99</v>
      </c>
      <c r="V37" s="24">
        <v>10</v>
      </c>
    </row>
    <row r="38" spans="1:22" ht="14" customHeight="1" x14ac:dyDescent="0.2">
      <c r="A38" s="22" t="s">
        <v>132</v>
      </c>
      <c r="B38" s="22" t="s">
        <v>226</v>
      </c>
      <c r="C38" s="22" t="s">
        <v>189</v>
      </c>
      <c r="D38" s="22" t="s">
        <v>259</v>
      </c>
      <c r="E38" s="22">
        <v>420</v>
      </c>
      <c r="F38" s="22">
        <v>1433</v>
      </c>
      <c r="G38" s="22">
        <v>1671</v>
      </c>
      <c r="H38" s="26">
        <v>1609</v>
      </c>
      <c r="I38" s="22">
        <v>840</v>
      </c>
      <c r="J38" s="22">
        <v>787</v>
      </c>
      <c r="K38" s="22">
        <v>704</v>
      </c>
      <c r="L38" s="22">
        <v>931</v>
      </c>
      <c r="M38" s="22">
        <v>918</v>
      </c>
      <c r="N38" s="22">
        <v>932</v>
      </c>
      <c r="O38" s="22">
        <v>1149</v>
      </c>
      <c r="P38" s="22">
        <v>2046</v>
      </c>
      <c r="Q38" s="22">
        <v>2037</v>
      </c>
      <c r="R38" s="22">
        <v>1380</v>
      </c>
      <c r="S38" s="26">
        <v>16857</v>
      </c>
      <c r="T38" s="26">
        <v>2046</v>
      </c>
      <c r="U38" s="26">
        <v>0.97</v>
      </c>
      <c r="V38" s="22">
        <v>10</v>
      </c>
    </row>
    <row r="39" spans="1:22" ht="14" customHeight="1" x14ac:dyDescent="0.2">
      <c r="A39" s="24" t="s">
        <v>143</v>
      </c>
      <c r="B39" s="24" t="s">
        <v>230</v>
      </c>
      <c r="C39" s="24" t="s">
        <v>178</v>
      </c>
      <c r="D39" s="24" t="s">
        <v>260</v>
      </c>
      <c r="E39" s="24">
        <v>294</v>
      </c>
      <c r="F39" s="24">
        <v>1391</v>
      </c>
      <c r="G39" s="24">
        <v>2062</v>
      </c>
      <c r="H39" s="26">
        <v>1216</v>
      </c>
      <c r="I39" s="24">
        <v>618</v>
      </c>
      <c r="J39" s="24">
        <v>720</v>
      </c>
      <c r="K39" s="24">
        <v>731</v>
      </c>
      <c r="L39" s="24">
        <v>860</v>
      </c>
      <c r="M39" s="24">
        <v>823</v>
      </c>
      <c r="N39" s="24">
        <v>863</v>
      </c>
      <c r="O39" s="24">
        <v>1023</v>
      </c>
      <c r="P39" s="24">
        <v>1943</v>
      </c>
      <c r="Q39" s="24">
        <v>1830</v>
      </c>
      <c r="R39" s="24">
        <v>1158</v>
      </c>
      <c r="S39" s="26">
        <v>15532</v>
      </c>
      <c r="T39" s="26">
        <v>2062</v>
      </c>
      <c r="U39" s="26">
        <v>0.99</v>
      </c>
      <c r="V39" s="24">
        <v>10</v>
      </c>
    </row>
    <row r="40" spans="1:22" ht="14" customHeight="1" x14ac:dyDescent="0.2">
      <c r="A40" s="22" t="s">
        <v>121</v>
      </c>
      <c r="B40" s="22" t="s">
        <v>230</v>
      </c>
      <c r="C40" s="22" t="s">
        <v>184</v>
      </c>
      <c r="D40" s="22" t="s">
        <v>260</v>
      </c>
      <c r="E40" s="22">
        <v>289</v>
      </c>
      <c r="F40" s="22">
        <v>1236</v>
      </c>
      <c r="G40" s="22">
        <v>1752</v>
      </c>
      <c r="H40" s="26">
        <v>1156</v>
      </c>
      <c r="I40" s="22">
        <v>794</v>
      </c>
      <c r="J40" s="22">
        <v>666</v>
      </c>
      <c r="K40" s="22">
        <v>803</v>
      </c>
      <c r="L40" s="22">
        <v>877</v>
      </c>
      <c r="M40" s="22">
        <v>817</v>
      </c>
      <c r="N40" s="22">
        <v>770</v>
      </c>
      <c r="O40" s="22">
        <v>824</v>
      </c>
      <c r="P40" s="22">
        <v>1719</v>
      </c>
      <c r="Q40" s="22">
        <v>1924</v>
      </c>
      <c r="R40" s="22">
        <v>1221</v>
      </c>
      <c r="S40" s="26">
        <v>14848</v>
      </c>
      <c r="T40" s="26">
        <v>1924</v>
      </c>
      <c r="U40" s="26">
        <v>0.87</v>
      </c>
      <c r="V40" s="22">
        <v>11.8</v>
      </c>
    </row>
    <row r="41" spans="1:22" ht="14" customHeight="1" x14ac:dyDescent="0.2">
      <c r="A41" s="24" t="s">
        <v>144</v>
      </c>
      <c r="B41" s="24" t="s">
        <v>230</v>
      </c>
      <c r="C41" s="24" t="s">
        <v>187</v>
      </c>
      <c r="D41" s="24" t="s">
        <v>260</v>
      </c>
      <c r="E41" s="24">
        <v>320</v>
      </c>
      <c r="F41" s="24">
        <v>1169</v>
      </c>
      <c r="G41" s="24">
        <v>1706</v>
      </c>
      <c r="H41" s="26">
        <v>1173</v>
      </c>
      <c r="I41" s="24">
        <v>787</v>
      </c>
      <c r="J41" s="24">
        <v>554</v>
      </c>
      <c r="K41" s="24">
        <v>751</v>
      </c>
      <c r="L41" s="24">
        <v>877</v>
      </c>
      <c r="M41" s="24">
        <v>869</v>
      </c>
      <c r="N41" s="24">
        <v>788</v>
      </c>
      <c r="O41" s="24">
        <v>872</v>
      </c>
      <c r="P41" s="24">
        <v>2032</v>
      </c>
      <c r="Q41" s="24">
        <v>1901</v>
      </c>
      <c r="R41" s="24">
        <v>1388</v>
      </c>
      <c r="S41" s="26">
        <v>15187</v>
      </c>
      <c r="T41" s="26">
        <v>2032</v>
      </c>
      <c r="U41" s="26">
        <v>0.97</v>
      </c>
      <c r="V41" s="24">
        <v>10</v>
      </c>
    </row>
    <row r="42" spans="1:22" ht="14" customHeight="1" x14ac:dyDescent="0.2">
      <c r="A42" s="22" t="s">
        <v>148</v>
      </c>
      <c r="B42" s="22" t="s">
        <v>230</v>
      </c>
      <c r="C42" s="22" t="s">
        <v>188</v>
      </c>
      <c r="D42" s="22" t="s">
        <v>260</v>
      </c>
      <c r="E42" s="22">
        <v>359</v>
      </c>
      <c r="F42" s="22">
        <v>1481</v>
      </c>
      <c r="G42" s="22">
        <v>1926</v>
      </c>
      <c r="H42" s="26">
        <v>1219</v>
      </c>
      <c r="I42" s="22">
        <v>674</v>
      </c>
      <c r="J42" s="22">
        <v>585</v>
      </c>
      <c r="K42" s="22">
        <v>829</v>
      </c>
      <c r="L42" s="22">
        <v>703</v>
      </c>
      <c r="M42" s="22">
        <v>708</v>
      </c>
      <c r="N42" s="22">
        <v>769</v>
      </c>
      <c r="O42" s="22">
        <v>1138</v>
      </c>
      <c r="P42" s="22">
        <v>1507</v>
      </c>
      <c r="Q42" s="22">
        <v>1881</v>
      </c>
      <c r="R42" s="22">
        <v>1181</v>
      </c>
      <c r="S42" s="26">
        <v>14960</v>
      </c>
      <c r="T42" s="26">
        <v>1926</v>
      </c>
      <c r="U42" s="26">
        <v>0.92</v>
      </c>
      <c r="V42" s="22">
        <v>11</v>
      </c>
    </row>
    <row r="43" spans="1:22" ht="14" customHeight="1" x14ac:dyDescent="0.2">
      <c r="A43" s="24" t="s">
        <v>149</v>
      </c>
      <c r="B43" s="24" t="s">
        <v>230</v>
      </c>
      <c r="C43" s="24" t="s">
        <v>189</v>
      </c>
      <c r="D43" s="24" t="s">
        <v>260</v>
      </c>
      <c r="E43" s="24">
        <v>325</v>
      </c>
      <c r="F43" s="24">
        <v>1265</v>
      </c>
      <c r="G43" s="24">
        <v>1808</v>
      </c>
      <c r="H43" s="26">
        <v>1128</v>
      </c>
      <c r="I43" s="24">
        <v>751</v>
      </c>
      <c r="J43" s="24">
        <v>651</v>
      </c>
      <c r="K43" s="24">
        <v>802</v>
      </c>
      <c r="L43" s="24">
        <v>852</v>
      </c>
      <c r="M43" s="24">
        <v>894</v>
      </c>
      <c r="N43" s="24">
        <v>768</v>
      </c>
      <c r="O43" s="24">
        <v>959</v>
      </c>
      <c r="P43" s="24">
        <v>2079</v>
      </c>
      <c r="Q43" s="24">
        <v>1899</v>
      </c>
      <c r="R43" s="24">
        <v>1265</v>
      </c>
      <c r="S43" s="26">
        <v>15446</v>
      </c>
      <c r="T43" s="26">
        <v>2079</v>
      </c>
      <c r="U43" s="26">
        <v>0.99</v>
      </c>
      <c r="V43" s="24">
        <v>10</v>
      </c>
    </row>
    <row r="46" spans="1:22" x14ac:dyDescent="0.2">
      <c r="A46" s="64" t="s">
        <v>261</v>
      </c>
      <c r="B46" s="58"/>
      <c r="C46" s="58"/>
      <c r="D46" s="58"/>
      <c r="E46" s="58"/>
      <c r="F46" s="58"/>
      <c r="G46" s="58"/>
      <c r="H46" s="58"/>
    </row>
    <row r="47" spans="1:22" ht="36" x14ac:dyDescent="0.2">
      <c r="A47" s="4" t="s">
        <v>165</v>
      </c>
      <c r="B47" s="4" t="s">
        <v>262</v>
      </c>
      <c r="C47" s="4" t="s">
        <v>263</v>
      </c>
      <c r="D47" s="4" t="s">
        <v>264</v>
      </c>
      <c r="E47" s="4" t="s">
        <v>265</v>
      </c>
      <c r="F47" s="4" t="s">
        <v>255</v>
      </c>
      <c r="G47" s="4" t="s">
        <v>266</v>
      </c>
      <c r="H47" s="4" t="s">
        <v>267</v>
      </c>
    </row>
    <row r="48" spans="1:22" ht="55" customHeight="1" x14ac:dyDescent="0.2">
      <c r="A48" s="22" t="s">
        <v>177</v>
      </c>
      <c r="B48" s="22" t="s">
        <v>268</v>
      </c>
      <c r="C48" s="22" t="s">
        <v>269</v>
      </c>
      <c r="D48" s="22" t="s">
        <v>270</v>
      </c>
      <c r="E48" s="22" t="s">
        <v>271</v>
      </c>
      <c r="F48" s="22" t="s">
        <v>272</v>
      </c>
      <c r="G48" s="30" t="s">
        <v>256</v>
      </c>
      <c r="H48" s="30" t="s">
        <v>273</v>
      </c>
    </row>
    <row r="49" spans="1:8" ht="50" customHeight="1" x14ac:dyDescent="0.2">
      <c r="A49" s="24" t="s">
        <v>191</v>
      </c>
      <c r="B49" s="24" t="s">
        <v>274</v>
      </c>
      <c r="C49" s="24" t="s">
        <v>275</v>
      </c>
      <c r="D49" s="24" t="s">
        <v>276</v>
      </c>
      <c r="E49" s="24" t="s">
        <v>277</v>
      </c>
      <c r="F49" s="24" t="s">
        <v>278</v>
      </c>
      <c r="G49" s="31" t="s">
        <v>279</v>
      </c>
      <c r="H49" s="31" t="s">
        <v>280</v>
      </c>
    </row>
    <row r="50" spans="1:8" ht="48" customHeight="1" x14ac:dyDescent="0.2">
      <c r="A50" s="22" t="s">
        <v>203</v>
      </c>
      <c r="B50" s="22" t="s">
        <v>281</v>
      </c>
      <c r="C50" s="22" t="s">
        <v>282</v>
      </c>
      <c r="D50" s="22" t="s">
        <v>283</v>
      </c>
      <c r="E50" s="22" t="s">
        <v>284</v>
      </c>
      <c r="F50" s="22" t="s">
        <v>285</v>
      </c>
      <c r="G50" s="30" t="s">
        <v>286</v>
      </c>
      <c r="H50" s="30" t="s">
        <v>287</v>
      </c>
    </row>
    <row r="51" spans="1:8" ht="50" customHeight="1" x14ac:dyDescent="0.2">
      <c r="A51" s="24" t="s">
        <v>211</v>
      </c>
      <c r="B51" s="24" t="s">
        <v>288</v>
      </c>
      <c r="C51" s="24" t="s">
        <v>289</v>
      </c>
      <c r="D51" s="24" t="s">
        <v>290</v>
      </c>
      <c r="E51" s="24" t="s">
        <v>291</v>
      </c>
      <c r="F51" s="24" t="s">
        <v>292</v>
      </c>
      <c r="G51" s="31" t="s">
        <v>258</v>
      </c>
      <c r="H51" s="31" t="s">
        <v>293</v>
      </c>
    </row>
    <row r="52" spans="1:8" ht="63" customHeight="1" x14ac:dyDescent="0.2">
      <c r="A52" s="22" t="s">
        <v>218</v>
      </c>
      <c r="B52" s="22" t="s">
        <v>294</v>
      </c>
      <c r="C52" s="22" t="s">
        <v>295</v>
      </c>
      <c r="D52" s="22" t="s">
        <v>296</v>
      </c>
      <c r="E52" s="22" t="s">
        <v>297</v>
      </c>
      <c r="F52" s="22" t="s">
        <v>298</v>
      </c>
      <c r="G52" s="30" t="s">
        <v>299</v>
      </c>
      <c r="H52" s="30" t="s">
        <v>300</v>
      </c>
    </row>
    <row r="53" spans="1:8" ht="16" customHeight="1" x14ac:dyDescent="0.2">
      <c r="A53" s="24" t="s">
        <v>222</v>
      </c>
      <c r="B53" s="24" t="s">
        <v>301</v>
      </c>
      <c r="C53" s="24" t="s">
        <v>302</v>
      </c>
      <c r="D53" s="24" t="s">
        <v>303</v>
      </c>
      <c r="E53" s="24" t="s">
        <v>304</v>
      </c>
      <c r="F53" s="24" t="s">
        <v>305</v>
      </c>
      <c r="G53" s="31" t="s">
        <v>306</v>
      </c>
      <c r="H53" s="31" t="s">
        <v>307</v>
      </c>
    </row>
    <row r="54" spans="1:8" ht="16" customHeight="1" x14ac:dyDescent="0.2">
      <c r="A54" s="22" t="s">
        <v>226</v>
      </c>
      <c r="B54" s="22" t="s">
        <v>308</v>
      </c>
      <c r="C54" s="22" t="s">
        <v>309</v>
      </c>
      <c r="D54" s="22" t="s">
        <v>310</v>
      </c>
      <c r="E54" s="22" t="s">
        <v>311</v>
      </c>
      <c r="F54" s="22" t="s">
        <v>312</v>
      </c>
      <c r="G54" s="30" t="s">
        <v>313</v>
      </c>
      <c r="H54" s="30" t="s">
        <v>314</v>
      </c>
    </row>
    <row r="55" spans="1:8" ht="16" customHeight="1" x14ac:dyDescent="0.2">
      <c r="A55" s="24" t="s">
        <v>230</v>
      </c>
      <c r="B55" s="24" t="s">
        <v>315</v>
      </c>
      <c r="C55" s="24" t="s">
        <v>316</v>
      </c>
      <c r="D55" s="24" t="s">
        <v>317</v>
      </c>
      <c r="E55" s="24" t="s">
        <v>318</v>
      </c>
      <c r="F55" s="24" t="s">
        <v>319</v>
      </c>
      <c r="G55" s="31" t="s">
        <v>260</v>
      </c>
      <c r="H55" s="31" t="s">
        <v>320</v>
      </c>
    </row>
  </sheetData>
  <mergeCells count="3">
    <mergeCell ref="A46:H46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7"/>
  <sheetViews>
    <sheetView showGridLines="0" topLeftCell="A52" zoomScale="170" zoomScaleNormal="170" workbookViewId="0">
      <selection sqref="A1:J1"/>
    </sheetView>
  </sheetViews>
  <sheetFormatPr baseColWidth="10" defaultColWidth="8.83203125" defaultRowHeight="15" x14ac:dyDescent="0.2"/>
  <cols>
    <col min="1" max="2" width="8" customWidth="1"/>
    <col min="3" max="3" width="20" customWidth="1"/>
    <col min="4" max="5" width="15" customWidth="1"/>
    <col min="6" max="6" width="13" customWidth="1"/>
    <col min="7" max="7" width="11" customWidth="1"/>
    <col min="8" max="8" width="25" customWidth="1"/>
    <col min="9" max="9" width="11" customWidth="1"/>
    <col min="10" max="10" width="18" customWidth="1"/>
  </cols>
  <sheetData>
    <row r="1" spans="1:10" ht="28" customHeight="1" x14ac:dyDescent="0.2">
      <c r="A1" s="61" t="s">
        <v>321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24" customHeight="1" x14ac:dyDescent="0.2">
      <c r="A2" s="4" t="s">
        <v>165</v>
      </c>
      <c r="B2" s="4" t="s">
        <v>38</v>
      </c>
      <c r="C2" s="4" t="s">
        <v>322</v>
      </c>
      <c r="D2" s="4" t="s">
        <v>53</v>
      </c>
      <c r="E2" s="4" t="s">
        <v>323</v>
      </c>
      <c r="F2" s="4" t="s">
        <v>324</v>
      </c>
      <c r="G2" s="4" t="s">
        <v>325</v>
      </c>
      <c r="H2" s="4" t="s">
        <v>326</v>
      </c>
      <c r="I2" s="4" t="s">
        <v>327</v>
      </c>
      <c r="J2" s="4" t="s">
        <v>328</v>
      </c>
    </row>
    <row r="3" spans="1:10" ht="14" customHeight="1" x14ac:dyDescent="0.2">
      <c r="A3" s="5" t="s">
        <v>177</v>
      </c>
      <c r="B3" s="5" t="s">
        <v>101</v>
      </c>
      <c r="C3" s="5" t="s">
        <v>329</v>
      </c>
      <c r="D3" s="32">
        <v>10625</v>
      </c>
      <c r="E3" s="32">
        <v>10530</v>
      </c>
      <c r="F3" s="32">
        <v>-95</v>
      </c>
      <c r="G3" s="33">
        <v>-8.9411764705882354E-3</v>
      </c>
      <c r="H3" s="6" t="s">
        <v>330</v>
      </c>
      <c r="I3" s="5" t="s">
        <v>181</v>
      </c>
      <c r="J3" s="32">
        <v>10530</v>
      </c>
    </row>
    <row r="4" spans="1:10" ht="14" customHeight="1" x14ac:dyDescent="0.2">
      <c r="A4" s="16" t="s">
        <v>177</v>
      </c>
      <c r="B4" s="16" t="s">
        <v>95</v>
      </c>
      <c r="C4" s="16" t="s">
        <v>331</v>
      </c>
      <c r="D4" s="34">
        <v>8125</v>
      </c>
      <c r="E4" s="34">
        <v>7991</v>
      </c>
      <c r="F4" s="34">
        <v>-134</v>
      </c>
      <c r="G4" s="35">
        <v>-1.6492307692307692E-2</v>
      </c>
      <c r="H4" s="17" t="s">
        <v>332</v>
      </c>
      <c r="I4" s="16" t="s">
        <v>181</v>
      </c>
      <c r="J4" s="34">
        <v>18521</v>
      </c>
    </row>
    <row r="5" spans="1:10" ht="14" customHeight="1" x14ac:dyDescent="0.2">
      <c r="A5" s="8" t="s">
        <v>177</v>
      </c>
      <c r="B5" s="8" t="s">
        <v>115</v>
      </c>
      <c r="C5" s="8" t="s">
        <v>333</v>
      </c>
      <c r="D5" s="36">
        <v>6875</v>
      </c>
      <c r="E5" s="36">
        <v>7767</v>
      </c>
      <c r="F5" s="36">
        <v>892</v>
      </c>
      <c r="G5" s="37">
        <v>0.12974545454545461</v>
      </c>
      <c r="H5" s="9" t="s">
        <v>332</v>
      </c>
      <c r="I5" s="8" t="s">
        <v>181</v>
      </c>
      <c r="J5" s="36">
        <v>26288</v>
      </c>
    </row>
    <row r="6" spans="1:10" ht="14" customHeight="1" x14ac:dyDescent="0.2">
      <c r="A6" s="16" t="s">
        <v>177</v>
      </c>
      <c r="B6" s="16" t="s">
        <v>117</v>
      </c>
      <c r="C6" s="16" t="s">
        <v>334</v>
      </c>
      <c r="D6" s="34">
        <v>1875</v>
      </c>
      <c r="E6" s="34">
        <v>1850</v>
      </c>
      <c r="F6" s="34">
        <v>-25</v>
      </c>
      <c r="G6" s="35">
        <v>-1.3333333333333331E-2</v>
      </c>
      <c r="H6" s="17" t="s">
        <v>91</v>
      </c>
      <c r="I6" s="16" t="s">
        <v>181</v>
      </c>
      <c r="J6" s="34">
        <v>28138</v>
      </c>
    </row>
    <row r="7" spans="1:10" ht="14" customHeight="1" x14ac:dyDescent="0.2">
      <c r="A7" s="12" t="s">
        <v>177</v>
      </c>
      <c r="B7" s="12" t="s">
        <v>115</v>
      </c>
      <c r="C7" s="12" t="s">
        <v>335</v>
      </c>
      <c r="D7" s="38">
        <v>3750</v>
      </c>
      <c r="E7" s="38">
        <v>4889</v>
      </c>
      <c r="F7" s="38">
        <v>1139</v>
      </c>
      <c r="G7" s="39">
        <v>0.30373333333333341</v>
      </c>
      <c r="H7" s="13" t="s">
        <v>66</v>
      </c>
      <c r="I7" s="12" t="s">
        <v>181</v>
      </c>
      <c r="J7" s="38">
        <v>33027</v>
      </c>
    </row>
    <row r="8" spans="1:10" ht="14" customHeight="1" x14ac:dyDescent="0.2">
      <c r="A8" s="16" t="s">
        <v>177</v>
      </c>
      <c r="B8" s="16" t="s">
        <v>92</v>
      </c>
      <c r="C8" s="16" t="s">
        <v>336</v>
      </c>
      <c r="D8" s="34">
        <v>1000</v>
      </c>
      <c r="E8" s="34">
        <v>971</v>
      </c>
      <c r="F8" s="34">
        <v>-29</v>
      </c>
      <c r="G8" s="35">
        <v>-2.9000000000000001E-2</v>
      </c>
      <c r="H8" s="17" t="s">
        <v>337</v>
      </c>
      <c r="I8" s="16" t="s">
        <v>182</v>
      </c>
      <c r="J8" s="34">
        <v>33998</v>
      </c>
    </row>
    <row r="9" spans="1:10" ht="14" customHeight="1" x14ac:dyDescent="0.2">
      <c r="A9" s="8" t="s">
        <v>177</v>
      </c>
      <c r="B9" s="8" t="s">
        <v>106</v>
      </c>
      <c r="C9" s="8" t="s">
        <v>338</v>
      </c>
      <c r="D9" s="36">
        <v>1500</v>
      </c>
      <c r="E9" s="36">
        <v>1657</v>
      </c>
      <c r="F9" s="36">
        <v>157</v>
      </c>
      <c r="G9" s="37">
        <v>0.1046666666666667</v>
      </c>
      <c r="H9" s="9" t="s">
        <v>330</v>
      </c>
      <c r="I9" s="8" t="s">
        <v>181</v>
      </c>
      <c r="J9" s="36">
        <v>35655</v>
      </c>
    </row>
    <row r="10" spans="1:10" ht="14" customHeight="1" x14ac:dyDescent="0.2">
      <c r="A10" s="16" t="s">
        <v>177</v>
      </c>
      <c r="B10" s="16" t="s">
        <v>75</v>
      </c>
      <c r="C10" s="16" t="s">
        <v>339</v>
      </c>
      <c r="D10" s="34">
        <v>0</v>
      </c>
      <c r="E10" s="34">
        <v>0</v>
      </c>
      <c r="F10" s="34">
        <v>0</v>
      </c>
      <c r="G10" s="35">
        <v>0</v>
      </c>
      <c r="H10" s="17" t="s">
        <v>337</v>
      </c>
      <c r="I10" s="16" t="s">
        <v>182</v>
      </c>
      <c r="J10" s="34">
        <v>35655</v>
      </c>
    </row>
    <row r="11" spans="1:10" ht="14" customHeight="1" x14ac:dyDescent="0.2">
      <c r="A11" s="12" t="s">
        <v>191</v>
      </c>
      <c r="B11" s="12" t="s">
        <v>78</v>
      </c>
      <c r="C11" s="12" t="s">
        <v>329</v>
      </c>
      <c r="D11" s="38">
        <v>11688</v>
      </c>
      <c r="E11" s="38">
        <v>15027</v>
      </c>
      <c r="F11" s="40">
        <v>3339</v>
      </c>
      <c r="G11" s="39">
        <v>0.28567761806981518</v>
      </c>
      <c r="H11" s="13" t="s">
        <v>337</v>
      </c>
      <c r="I11" s="12" t="s">
        <v>182</v>
      </c>
      <c r="J11" s="38">
        <v>50682</v>
      </c>
    </row>
    <row r="12" spans="1:10" ht="14" customHeight="1" x14ac:dyDescent="0.2">
      <c r="A12" s="8" t="s">
        <v>191</v>
      </c>
      <c r="B12" s="8" t="s">
        <v>122</v>
      </c>
      <c r="C12" s="8" t="s">
        <v>331</v>
      </c>
      <c r="D12" s="36">
        <v>8938</v>
      </c>
      <c r="E12" s="36">
        <v>8983</v>
      </c>
      <c r="F12" s="36">
        <v>45</v>
      </c>
      <c r="G12" s="37">
        <v>5.0346833743566792E-3</v>
      </c>
      <c r="H12" s="9" t="s">
        <v>340</v>
      </c>
      <c r="I12" s="8" t="s">
        <v>181</v>
      </c>
      <c r="J12" s="36">
        <v>59665</v>
      </c>
    </row>
    <row r="13" spans="1:10" ht="14" customHeight="1" x14ac:dyDescent="0.2">
      <c r="A13" s="12" t="s">
        <v>191</v>
      </c>
      <c r="B13" s="12" t="s">
        <v>151</v>
      </c>
      <c r="C13" s="12" t="s">
        <v>333</v>
      </c>
      <c r="D13" s="38">
        <v>7563</v>
      </c>
      <c r="E13" s="38">
        <v>9291</v>
      </c>
      <c r="F13" s="38">
        <v>1728</v>
      </c>
      <c r="G13" s="39">
        <v>0.22848076160253869</v>
      </c>
      <c r="H13" s="13" t="s">
        <v>332</v>
      </c>
      <c r="I13" s="12" t="s">
        <v>181</v>
      </c>
      <c r="J13" s="38">
        <v>68956</v>
      </c>
    </row>
    <row r="14" spans="1:10" ht="14" customHeight="1" x14ac:dyDescent="0.2">
      <c r="A14" s="8" t="s">
        <v>191</v>
      </c>
      <c r="B14" s="8" t="s">
        <v>68</v>
      </c>
      <c r="C14" s="8" t="s">
        <v>334</v>
      </c>
      <c r="D14" s="36">
        <v>2062</v>
      </c>
      <c r="E14" s="36">
        <v>2346</v>
      </c>
      <c r="F14" s="36">
        <v>284</v>
      </c>
      <c r="G14" s="37">
        <v>0.13773035887487869</v>
      </c>
      <c r="H14" s="9" t="s">
        <v>66</v>
      </c>
      <c r="I14" s="8" t="s">
        <v>181</v>
      </c>
      <c r="J14" s="36">
        <v>71302</v>
      </c>
    </row>
    <row r="15" spans="1:10" ht="14" customHeight="1" x14ac:dyDescent="0.2">
      <c r="A15" s="5" t="s">
        <v>191</v>
      </c>
      <c r="B15" s="5" t="s">
        <v>78</v>
      </c>
      <c r="C15" s="5" t="s">
        <v>335</v>
      </c>
      <c r="D15" s="32">
        <v>4125</v>
      </c>
      <c r="E15" s="32">
        <v>3950</v>
      </c>
      <c r="F15" s="32">
        <v>-175</v>
      </c>
      <c r="G15" s="33">
        <v>-4.2424242424242427E-2</v>
      </c>
      <c r="H15" s="6" t="s">
        <v>91</v>
      </c>
      <c r="I15" s="5" t="s">
        <v>181</v>
      </c>
      <c r="J15" s="32">
        <v>75252</v>
      </c>
    </row>
    <row r="16" spans="1:10" ht="14" customHeight="1" x14ac:dyDescent="0.2">
      <c r="A16" s="12" t="s">
        <v>191</v>
      </c>
      <c r="B16" s="12" t="s">
        <v>75</v>
      </c>
      <c r="C16" s="12" t="s">
        <v>336</v>
      </c>
      <c r="D16" s="38">
        <v>1100</v>
      </c>
      <c r="E16" s="38">
        <v>1286</v>
      </c>
      <c r="F16" s="38">
        <v>186</v>
      </c>
      <c r="G16" s="39">
        <v>0.1690909090909091</v>
      </c>
      <c r="H16" s="13" t="s">
        <v>56</v>
      </c>
      <c r="I16" s="12" t="s">
        <v>182</v>
      </c>
      <c r="J16" s="38">
        <v>76538</v>
      </c>
    </row>
    <row r="17" spans="1:10" ht="14" customHeight="1" x14ac:dyDescent="0.2">
      <c r="A17" s="12" t="s">
        <v>191</v>
      </c>
      <c r="B17" s="12" t="s">
        <v>101</v>
      </c>
      <c r="C17" s="12" t="s">
        <v>338</v>
      </c>
      <c r="D17" s="38">
        <v>1650</v>
      </c>
      <c r="E17" s="38">
        <v>2080</v>
      </c>
      <c r="F17" s="38">
        <v>430</v>
      </c>
      <c r="G17" s="39">
        <v>0.26060606060606062</v>
      </c>
      <c r="H17" s="13" t="s">
        <v>91</v>
      </c>
      <c r="I17" s="12" t="s">
        <v>181</v>
      </c>
      <c r="J17" s="38">
        <v>78618</v>
      </c>
    </row>
    <row r="18" spans="1:10" ht="14" customHeight="1" x14ac:dyDescent="0.2">
      <c r="A18" s="16" t="s">
        <v>191</v>
      </c>
      <c r="B18" s="16" t="s">
        <v>115</v>
      </c>
      <c r="C18" s="16" t="s">
        <v>339</v>
      </c>
      <c r="D18" s="34">
        <v>0</v>
      </c>
      <c r="E18" s="34">
        <v>0</v>
      </c>
      <c r="F18" s="34">
        <v>0</v>
      </c>
      <c r="G18" s="35">
        <v>0</v>
      </c>
      <c r="H18" s="17" t="s">
        <v>91</v>
      </c>
      <c r="I18" s="16" t="s">
        <v>181</v>
      </c>
      <c r="J18" s="34">
        <v>78618</v>
      </c>
    </row>
    <row r="19" spans="1:10" ht="14" customHeight="1" x14ac:dyDescent="0.2">
      <c r="A19" s="12" t="s">
        <v>203</v>
      </c>
      <c r="B19" s="12" t="s">
        <v>68</v>
      </c>
      <c r="C19" s="12" t="s">
        <v>329</v>
      </c>
      <c r="D19" s="38">
        <v>12750</v>
      </c>
      <c r="E19" s="38">
        <v>15371</v>
      </c>
      <c r="F19" s="40">
        <v>2621</v>
      </c>
      <c r="G19" s="39">
        <v>0.2055686274509804</v>
      </c>
      <c r="H19" s="13" t="s">
        <v>56</v>
      </c>
      <c r="I19" s="12" t="s">
        <v>182</v>
      </c>
      <c r="J19" s="38">
        <v>93989</v>
      </c>
    </row>
    <row r="20" spans="1:10" ht="14" customHeight="1" x14ac:dyDescent="0.2">
      <c r="A20" s="16" t="s">
        <v>203</v>
      </c>
      <c r="B20" s="16" t="s">
        <v>137</v>
      </c>
      <c r="C20" s="16" t="s">
        <v>331</v>
      </c>
      <c r="D20" s="34">
        <v>9750</v>
      </c>
      <c r="E20" s="34">
        <v>9695</v>
      </c>
      <c r="F20" s="34">
        <v>-55</v>
      </c>
      <c r="G20" s="35">
        <v>-5.6410256410256406E-3</v>
      </c>
      <c r="H20" s="17" t="s">
        <v>56</v>
      </c>
      <c r="I20" s="16" t="s">
        <v>182</v>
      </c>
      <c r="J20" s="34">
        <v>103684</v>
      </c>
    </row>
    <row r="21" spans="1:10" ht="14" customHeight="1" x14ac:dyDescent="0.2">
      <c r="A21" s="12" t="s">
        <v>203</v>
      </c>
      <c r="B21" s="12" t="s">
        <v>151</v>
      </c>
      <c r="C21" s="12" t="s">
        <v>333</v>
      </c>
      <c r="D21" s="38">
        <v>8250</v>
      </c>
      <c r="E21" s="38">
        <v>9606</v>
      </c>
      <c r="F21" s="38">
        <v>1356</v>
      </c>
      <c r="G21" s="39">
        <v>0.16436363636363641</v>
      </c>
      <c r="H21" s="13" t="s">
        <v>91</v>
      </c>
      <c r="I21" s="12" t="s">
        <v>181</v>
      </c>
      <c r="J21" s="38">
        <v>113290</v>
      </c>
    </row>
    <row r="22" spans="1:10" ht="14" customHeight="1" x14ac:dyDescent="0.2">
      <c r="A22" s="8" t="s">
        <v>203</v>
      </c>
      <c r="B22" s="8" t="s">
        <v>54</v>
      </c>
      <c r="C22" s="8" t="s">
        <v>334</v>
      </c>
      <c r="D22" s="36">
        <v>2250</v>
      </c>
      <c r="E22" s="36">
        <v>2267</v>
      </c>
      <c r="F22" s="36">
        <v>17</v>
      </c>
      <c r="G22" s="37">
        <v>7.5555555555555558E-3</v>
      </c>
      <c r="H22" s="9" t="s">
        <v>56</v>
      </c>
      <c r="I22" s="8" t="s">
        <v>182</v>
      </c>
      <c r="J22" s="36">
        <v>115557</v>
      </c>
    </row>
    <row r="23" spans="1:10" ht="14" customHeight="1" x14ac:dyDescent="0.2">
      <c r="A23" s="12" t="s">
        <v>203</v>
      </c>
      <c r="B23" s="12" t="s">
        <v>134</v>
      </c>
      <c r="C23" s="12" t="s">
        <v>335</v>
      </c>
      <c r="D23" s="38">
        <v>4500</v>
      </c>
      <c r="E23" s="38">
        <v>5382</v>
      </c>
      <c r="F23" s="38">
        <v>882</v>
      </c>
      <c r="G23" s="39">
        <v>0.19600000000000001</v>
      </c>
      <c r="H23" s="13" t="s">
        <v>91</v>
      </c>
      <c r="I23" s="12" t="s">
        <v>181</v>
      </c>
      <c r="J23" s="38">
        <v>120939</v>
      </c>
    </row>
    <row r="24" spans="1:10" ht="14" customHeight="1" x14ac:dyDescent="0.2">
      <c r="A24" s="8" t="s">
        <v>203</v>
      </c>
      <c r="B24" s="8" t="s">
        <v>125</v>
      </c>
      <c r="C24" s="8" t="s">
        <v>336</v>
      </c>
      <c r="D24" s="36">
        <v>1200</v>
      </c>
      <c r="E24" s="36">
        <v>1340</v>
      </c>
      <c r="F24" s="36">
        <v>140</v>
      </c>
      <c r="G24" s="37">
        <v>0.1166666666666667</v>
      </c>
      <c r="H24" s="9" t="s">
        <v>330</v>
      </c>
      <c r="I24" s="8" t="s">
        <v>181</v>
      </c>
      <c r="J24" s="36">
        <v>122279</v>
      </c>
    </row>
    <row r="25" spans="1:10" ht="14" customHeight="1" x14ac:dyDescent="0.2">
      <c r="A25" s="12" t="s">
        <v>203</v>
      </c>
      <c r="B25" s="12" t="s">
        <v>125</v>
      </c>
      <c r="C25" s="12" t="s">
        <v>338</v>
      </c>
      <c r="D25" s="38">
        <v>1800</v>
      </c>
      <c r="E25" s="38">
        <v>2412</v>
      </c>
      <c r="F25" s="38">
        <v>612</v>
      </c>
      <c r="G25" s="39">
        <v>0.34</v>
      </c>
      <c r="H25" s="13" t="s">
        <v>330</v>
      </c>
      <c r="I25" s="12" t="s">
        <v>181</v>
      </c>
      <c r="J25" s="38">
        <v>124691</v>
      </c>
    </row>
    <row r="26" spans="1:10" ht="14" customHeight="1" x14ac:dyDescent="0.2">
      <c r="A26" s="16" t="s">
        <v>203</v>
      </c>
      <c r="B26" s="16" t="s">
        <v>111</v>
      </c>
      <c r="C26" s="16" t="s">
        <v>339</v>
      </c>
      <c r="D26" s="34">
        <v>0</v>
      </c>
      <c r="E26" s="34">
        <v>0</v>
      </c>
      <c r="F26" s="34">
        <v>0</v>
      </c>
      <c r="G26" s="35">
        <v>0</v>
      </c>
      <c r="H26" s="17" t="s">
        <v>66</v>
      </c>
      <c r="I26" s="16" t="s">
        <v>181</v>
      </c>
      <c r="J26" s="34">
        <v>124691</v>
      </c>
    </row>
    <row r="27" spans="1:10" ht="14" customHeight="1" x14ac:dyDescent="0.2">
      <c r="A27" s="12" t="s">
        <v>211</v>
      </c>
      <c r="B27" s="12" t="s">
        <v>141</v>
      </c>
      <c r="C27" s="12" t="s">
        <v>329</v>
      </c>
      <c r="D27" s="38">
        <v>13812</v>
      </c>
      <c r="E27" s="38">
        <v>17946</v>
      </c>
      <c r="F27" s="40">
        <v>4134</v>
      </c>
      <c r="G27" s="39">
        <v>0.29930495221546483</v>
      </c>
      <c r="H27" s="13" t="s">
        <v>66</v>
      </c>
      <c r="I27" s="12" t="s">
        <v>181</v>
      </c>
      <c r="J27" s="38">
        <v>142637</v>
      </c>
    </row>
    <row r="28" spans="1:10" ht="14" customHeight="1" x14ac:dyDescent="0.2">
      <c r="A28" s="8" t="s">
        <v>211</v>
      </c>
      <c r="B28" s="8" t="s">
        <v>95</v>
      </c>
      <c r="C28" s="8" t="s">
        <v>331</v>
      </c>
      <c r="D28" s="36">
        <v>10562</v>
      </c>
      <c r="E28" s="36">
        <v>11668</v>
      </c>
      <c r="F28" s="36">
        <v>1106</v>
      </c>
      <c r="G28" s="37">
        <v>0.1047150160954365</v>
      </c>
      <c r="H28" s="9" t="s">
        <v>337</v>
      </c>
      <c r="I28" s="8" t="s">
        <v>182</v>
      </c>
      <c r="J28" s="36">
        <v>154305</v>
      </c>
    </row>
    <row r="29" spans="1:10" ht="14" customHeight="1" x14ac:dyDescent="0.2">
      <c r="A29" s="12" t="s">
        <v>211</v>
      </c>
      <c r="B29" s="12" t="s">
        <v>68</v>
      </c>
      <c r="C29" s="12" t="s">
        <v>333</v>
      </c>
      <c r="D29" s="38">
        <v>8938</v>
      </c>
      <c r="E29" s="38">
        <v>11163</v>
      </c>
      <c r="F29" s="40">
        <v>2225</v>
      </c>
      <c r="G29" s="39">
        <v>0.24893712239874691</v>
      </c>
      <c r="H29" s="13" t="s">
        <v>337</v>
      </c>
      <c r="I29" s="12" t="s">
        <v>182</v>
      </c>
      <c r="J29" s="38">
        <v>165468</v>
      </c>
    </row>
    <row r="30" spans="1:10" ht="14" customHeight="1" x14ac:dyDescent="0.2">
      <c r="A30" s="8" t="s">
        <v>211</v>
      </c>
      <c r="B30" s="8" t="s">
        <v>134</v>
      </c>
      <c r="C30" s="8" t="s">
        <v>334</v>
      </c>
      <c r="D30" s="36">
        <v>2438</v>
      </c>
      <c r="E30" s="36">
        <v>2652</v>
      </c>
      <c r="F30" s="36">
        <v>214</v>
      </c>
      <c r="G30" s="37">
        <v>8.7776866283839211E-2</v>
      </c>
      <c r="H30" s="9" t="s">
        <v>330</v>
      </c>
      <c r="I30" s="8" t="s">
        <v>181</v>
      </c>
      <c r="J30" s="36">
        <v>168120</v>
      </c>
    </row>
    <row r="31" spans="1:10" ht="14" customHeight="1" x14ac:dyDescent="0.2">
      <c r="A31" s="12" t="s">
        <v>211</v>
      </c>
      <c r="B31" s="12" t="s">
        <v>78</v>
      </c>
      <c r="C31" s="12" t="s">
        <v>335</v>
      </c>
      <c r="D31" s="38">
        <v>4875</v>
      </c>
      <c r="E31" s="38">
        <v>6065</v>
      </c>
      <c r="F31" s="38">
        <v>1190</v>
      </c>
      <c r="G31" s="39">
        <v>0.24410256410256409</v>
      </c>
      <c r="H31" s="13" t="s">
        <v>337</v>
      </c>
      <c r="I31" s="12" t="s">
        <v>182</v>
      </c>
      <c r="J31" s="38">
        <v>174185</v>
      </c>
    </row>
    <row r="32" spans="1:10" ht="14" customHeight="1" x14ac:dyDescent="0.2">
      <c r="A32" s="16" t="s">
        <v>211</v>
      </c>
      <c r="B32" s="16" t="s">
        <v>141</v>
      </c>
      <c r="C32" s="16" t="s">
        <v>336</v>
      </c>
      <c r="D32" s="34">
        <v>1300</v>
      </c>
      <c r="E32" s="34">
        <v>1258</v>
      </c>
      <c r="F32" s="34">
        <v>-42</v>
      </c>
      <c r="G32" s="35">
        <v>-3.2307692307692308E-2</v>
      </c>
      <c r="H32" s="17" t="s">
        <v>337</v>
      </c>
      <c r="I32" s="16" t="s">
        <v>182</v>
      </c>
      <c r="J32" s="34">
        <v>175443</v>
      </c>
    </row>
    <row r="33" spans="1:10" ht="14" customHeight="1" x14ac:dyDescent="0.2">
      <c r="A33" s="8" t="s">
        <v>211</v>
      </c>
      <c r="B33" s="8" t="s">
        <v>151</v>
      </c>
      <c r="C33" s="8" t="s">
        <v>338</v>
      </c>
      <c r="D33" s="36">
        <v>1950</v>
      </c>
      <c r="E33" s="36">
        <v>1989</v>
      </c>
      <c r="F33" s="36">
        <v>39</v>
      </c>
      <c r="G33" s="37">
        <v>0.02</v>
      </c>
      <c r="H33" s="9" t="s">
        <v>56</v>
      </c>
      <c r="I33" s="8" t="s">
        <v>182</v>
      </c>
      <c r="J33" s="36">
        <v>177432</v>
      </c>
    </row>
    <row r="34" spans="1:10" ht="14" customHeight="1" x14ac:dyDescent="0.2">
      <c r="A34" s="16" t="s">
        <v>211</v>
      </c>
      <c r="B34" s="16" t="s">
        <v>78</v>
      </c>
      <c r="C34" s="16" t="s">
        <v>339</v>
      </c>
      <c r="D34" s="34">
        <v>0</v>
      </c>
      <c r="E34" s="34">
        <v>0</v>
      </c>
      <c r="F34" s="34">
        <v>0</v>
      </c>
      <c r="G34" s="35">
        <v>0</v>
      </c>
      <c r="H34" s="17" t="s">
        <v>332</v>
      </c>
      <c r="I34" s="16" t="s">
        <v>181</v>
      </c>
      <c r="J34" s="34">
        <v>177432</v>
      </c>
    </row>
    <row r="35" spans="1:10" ht="14" customHeight="1" x14ac:dyDescent="0.2">
      <c r="A35" s="5" t="s">
        <v>218</v>
      </c>
      <c r="B35" s="5" t="s">
        <v>60</v>
      </c>
      <c r="C35" s="5" t="s">
        <v>329</v>
      </c>
      <c r="D35" s="32">
        <v>12219</v>
      </c>
      <c r="E35" s="32">
        <v>11916</v>
      </c>
      <c r="F35" s="32">
        <v>-303</v>
      </c>
      <c r="G35" s="33">
        <v>-2.479744659955806E-2</v>
      </c>
      <c r="H35" s="6" t="s">
        <v>56</v>
      </c>
      <c r="I35" s="5" t="s">
        <v>182</v>
      </c>
      <c r="J35" s="32">
        <v>189348</v>
      </c>
    </row>
    <row r="36" spans="1:10" ht="14" customHeight="1" x14ac:dyDescent="0.2">
      <c r="A36" s="8" t="s">
        <v>218</v>
      </c>
      <c r="B36" s="8" t="s">
        <v>87</v>
      </c>
      <c r="C36" s="8" t="s">
        <v>331</v>
      </c>
      <c r="D36" s="36">
        <v>9344</v>
      </c>
      <c r="E36" s="36">
        <v>9974</v>
      </c>
      <c r="F36" s="36">
        <v>630</v>
      </c>
      <c r="G36" s="37">
        <v>6.7422945205479451E-2</v>
      </c>
      <c r="H36" s="9" t="s">
        <v>66</v>
      </c>
      <c r="I36" s="8" t="s">
        <v>181</v>
      </c>
      <c r="J36" s="36">
        <v>199322</v>
      </c>
    </row>
    <row r="37" spans="1:10" ht="14" customHeight="1" x14ac:dyDescent="0.2">
      <c r="A37" s="12" t="s">
        <v>218</v>
      </c>
      <c r="B37" s="12" t="s">
        <v>101</v>
      </c>
      <c r="C37" s="12" t="s">
        <v>333</v>
      </c>
      <c r="D37" s="38">
        <v>7906</v>
      </c>
      <c r="E37" s="38">
        <v>10312</v>
      </c>
      <c r="F37" s="40">
        <v>2406</v>
      </c>
      <c r="G37" s="39">
        <v>0.30432582848469519</v>
      </c>
      <c r="H37" s="13" t="s">
        <v>337</v>
      </c>
      <c r="I37" s="12" t="s">
        <v>182</v>
      </c>
      <c r="J37" s="38">
        <v>209634</v>
      </c>
    </row>
    <row r="38" spans="1:10" ht="14" customHeight="1" x14ac:dyDescent="0.2">
      <c r="A38" s="12" t="s">
        <v>218</v>
      </c>
      <c r="B38" s="12" t="s">
        <v>95</v>
      </c>
      <c r="C38" s="12" t="s">
        <v>334</v>
      </c>
      <c r="D38" s="38">
        <v>2156</v>
      </c>
      <c r="E38" s="38">
        <v>2493</v>
      </c>
      <c r="F38" s="38">
        <v>337</v>
      </c>
      <c r="G38" s="39">
        <v>0.1563079777365492</v>
      </c>
      <c r="H38" s="13" t="s">
        <v>56</v>
      </c>
      <c r="I38" s="12" t="s">
        <v>182</v>
      </c>
      <c r="J38" s="38">
        <v>212127</v>
      </c>
    </row>
    <row r="39" spans="1:10" ht="14" customHeight="1" x14ac:dyDescent="0.2">
      <c r="A39" s="5" t="s">
        <v>218</v>
      </c>
      <c r="B39" s="5" t="s">
        <v>101</v>
      </c>
      <c r="C39" s="5" t="s">
        <v>335</v>
      </c>
      <c r="D39" s="32">
        <v>4312</v>
      </c>
      <c r="E39" s="32">
        <v>4160</v>
      </c>
      <c r="F39" s="32">
        <v>-152</v>
      </c>
      <c r="G39" s="33">
        <v>-3.525046382189239E-2</v>
      </c>
      <c r="H39" s="6" t="s">
        <v>91</v>
      </c>
      <c r="I39" s="5" t="s">
        <v>181</v>
      </c>
      <c r="J39" s="32">
        <v>216287</v>
      </c>
    </row>
    <row r="40" spans="1:10" ht="14" customHeight="1" x14ac:dyDescent="0.2">
      <c r="A40" s="8" t="s">
        <v>218</v>
      </c>
      <c r="B40" s="8" t="s">
        <v>141</v>
      </c>
      <c r="C40" s="8" t="s">
        <v>336</v>
      </c>
      <c r="D40" s="36">
        <v>1150</v>
      </c>
      <c r="E40" s="36">
        <v>1257</v>
      </c>
      <c r="F40" s="36">
        <v>107</v>
      </c>
      <c r="G40" s="37">
        <v>9.3043478260869561E-2</v>
      </c>
      <c r="H40" s="9" t="s">
        <v>66</v>
      </c>
      <c r="I40" s="8" t="s">
        <v>181</v>
      </c>
      <c r="J40" s="36">
        <v>217544</v>
      </c>
    </row>
    <row r="41" spans="1:10" ht="14" customHeight="1" x14ac:dyDescent="0.2">
      <c r="A41" s="8" t="s">
        <v>218</v>
      </c>
      <c r="B41" s="8" t="s">
        <v>106</v>
      </c>
      <c r="C41" s="8" t="s">
        <v>338</v>
      </c>
      <c r="D41" s="36">
        <v>1725</v>
      </c>
      <c r="E41" s="36">
        <v>1868</v>
      </c>
      <c r="F41" s="36">
        <v>143</v>
      </c>
      <c r="G41" s="37">
        <v>8.2898550724637685E-2</v>
      </c>
      <c r="H41" s="9" t="s">
        <v>330</v>
      </c>
      <c r="I41" s="8" t="s">
        <v>181</v>
      </c>
      <c r="J41" s="36">
        <v>219412</v>
      </c>
    </row>
    <row r="42" spans="1:10" ht="14" customHeight="1" x14ac:dyDescent="0.2">
      <c r="A42" s="16" t="s">
        <v>218</v>
      </c>
      <c r="B42" s="16" t="s">
        <v>153</v>
      </c>
      <c r="C42" s="16" t="s">
        <v>339</v>
      </c>
      <c r="D42" s="34">
        <v>0</v>
      </c>
      <c r="E42" s="34">
        <v>0</v>
      </c>
      <c r="F42" s="34">
        <v>0</v>
      </c>
      <c r="G42" s="35">
        <v>0</v>
      </c>
      <c r="H42" s="17" t="s">
        <v>56</v>
      </c>
      <c r="I42" s="16" t="s">
        <v>182</v>
      </c>
      <c r="J42" s="34">
        <v>219412</v>
      </c>
    </row>
    <row r="43" spans="1:10" ht="14" customHeight="1" x14ac:dyDescent="0.2">
      <c r="A43" s="8" t="s">
        <v>222</v>
      </c>
      <c r="B43" s="8" t="s">
        <v>104</v>
      </c>
      <c r="C43" s="8" t="s">
        <v>329</v>
      </c>
      <c r="D43" s="36">
        <v>11156</v>
      </c>
      <c r="E43" s="36">
        <v>12560</v>
      </c>
      <c r="F43" s="36">
        <v>1404</v>
      </c>
      <c r="G43" s="37">
        <v>0.12585155969881681</v>
      </c>
      <c r="H43" s="9" t="s">
        <v>56</v>
      </c>
      <c r="I43" s="8" t="s">
        <v>182</v>
      </c>
      <c r="J43" s="36">
        <v>231972</v>
      </c>
    </row>
    <row r="44" spans="1:10" ht="14" customHeight="1" x14ac:dyDescent="0.2">
      <c r="A44" s="12" t="s">
        <v>222</v>
      </c>
      <c r="B44" s="12" t="s">
        <v>151</v>
      </c>
      <c r="C44" s="12" t="s">
        <v>331</v>
      </c>
      <c r="D44" s="38">
        <v>8531</v>
      </c>
      <c r="E44" s="38">
        <v>11427</v>
      </c>
      <c r="F44" s="40">
        <v>2896</v>
      </c>
      <c r="G44" s="39">
        <v>0.33946782323291519</v>
      </c>
      <c r="H44" s="13" t="s">
        <v>56</v>
      </c>
      <c r="I44" s="12" t="s">
        <v>182</v>
      </c>
      <c r="J44" s="38">
        <v>243399</v>
      </c>
    </row>
    <row r="45" spans="1:10" ht="14" customHeight="1" x14ac:dyDescent="0.2">
      <c r="A45" s="8" t="s">
        <v>222</v>
      </c>
      <c r="B45" s="8" t="s">
        <v>68</v>
      </c>
      <c r="C45" s="8" t="s">
        <v>333</v>
      </c>
      <c r="D45" s="36">
        <v>7219</v>
      </c>
      <c r="E45" s="36">
        <v>8295</v>
      </c>
      <c r="F45" s="36">
        <v>1076</v>
      </c>
      <c r="G45" s="37">
        <v>0.14905111511289651</v>
      </c>
      <c r="H45" s="9" t="s">
        <v>340</v>
      </c>
      <c r="I45" s="8" t="s">
        <v>181</v>
      </c>
      <c r="J45" s="36">
        <v>251694</v>
      </c>
    </row>
    <row r="46" spans="1:10" ht="14" customHeight="1" x14ac:dyDescent="0.2">
      <c r="A46" s="12" t="s">
        <v>222</v>
      </c>
      <c r="B46" s="12" t="s">
        <v>115</v>
      </c>
      <c r="C46" s="12" t="s">
        <v>334</v>
      </c>
      <c r="D46" s="38">
        <v>1969</v>
      </c>
      <c r="E46" s="38">
        <v>2443</v>
      </c>
      <c r="F46" s="38">
        <v>474</v>
      </c>
      <c r="G46" s="39">
        <v>0.24073133570340269</v>
      </c>
      <c r="H46" s="13" t="s">
        <v>330</v>
      </c>
      <c r="I46" s="12" t="s">
        <v>181</v>
      </c>
      <c r="J46" s="38">
        <v>254137</v>
      </c>
    </row>
    <row r="47" spans="1:10" ht="14" customHeight="1" x14ac:dyDescent="0.2">
      <c r="A47" s="12" t="s">
        <v>222</v>
      </c>
      <c r="B47" s="12" t="s">
        <v>130</v>
      </c>
      <c r="C47" s="12" t="s">
        <v>335</v>
      </c>
      <c r="D47" s="38">
        <v>3938</v>
      </c>
      <c r="E47" s="38">
        <v>4690</v>
      </c>
      <c r="F47" s="38">
        <v>752</v>
      </c>
      <c r="G47" s="39">
        <v>0.1909598781107161</v>
      </c>
      <c r="H47" s="13" t="s">
        <v>332</v>
      </c>
      <c r="I47" s="12" t="s">
        <v>181</v>
      </c>
      <c r="J47" s="38">
        <v>258827</v>
      </c>
    </row>
    <row r="48" spans="1:10" ht="14" customHeight="1" x14ac:dyDescent="0.2">
      <c r="A48" s="8" t="s">
        <v>222</v>
      </c>
      <c r="B48" s="8" t="s">
        <v>68</v>
      </c>
      <c r="C48" s="8" t="s">
        <v>336</v>
      </c>
      <c r="D48" s="36">
        <v>1050</v>
      </c>
      <c r="E48" s="36">
        <v>1121</v>
      </c>
      <c r="F48" s="36">
        <v>71</v>
      </c>
      <c r="G48" s="37">
        <v>6.761904761904762E-2</v>
      </c>
      <c r="H48" s="9" t="s">
        <v>330</v>
      </c>
      <c r="I48" s="8" t="s">
        <v>181</v>
      </c>
      <c r="J48" s="36">
        <v>259948</v>
      </c>
    </row>
    <row r="49" spans="1:10" ht="14" customHeight="1" x14ac:dyDescent="0.2">
      <c r="A49" s="8" t="s">
        <v>222</v>
      </c>
      <c r="B49" s="8" t="s">
        <v>101</v>
      </c>
      <c r="C49" s="8" t="s">
        <v>338</v>
      </c>
      <c r="D49" s="36">
        <v>1575</v>
      </c>
      <c r="E49" s="36">
        <v>1703</v>
      </c>
      <c r="F49" s="36">
        <v>128</v>
      </c>
      <c r="G49" s="37">
        <v>8.126984126984127E-2</v>
      </c>
      <c r="H49" s="9" t="s">
        <v>340</v>
      </c>
      <c r="I49" s="8" t="s">
        <v>181</v>
      </c>
      <c r="J49" s="36">
        <v>261651</v>
      </c>
    </row>
    <row r="50" spans="1:10" ht="14" customHeight="1" x14ac:dyDescent="0.2">
      <c r="A50" s="16" t="s">
        <v>222</v>
      </c>
      <c r="B50" s="16" t="s">
        <v>82</v>
      </c>
      <c r="C50" s="16" t="s">
        <v>339</v>
      </c>
      <c r="D50" s="34">
        <v>0</v>
      </c>
      <c r="E50" s="34">
        <v>0</v>
      </c>
      <c r="F50" s="34">
        <v>0</v>
      </c>
      <c r="G50" s="35">
        <v>0</v>
      </c>
      <c r="H50" s="17" t="s">
        <v>56</v>
      </c>
      <c r="I50" s="16" t="s">
        <v>182</v>
      </c>
      <c r="J50" s="34">
        <v>261651</v>
      </c>
    </row>
    <row r="51" spans="1:10" ht="14" customHeight="1" x14ac:dyDescent="0.2">
      <c r="A51" s="12" t="s">
        <v>226</v>
      </c>
      <c r="B51" s="12" t="s">
        <v>117</v>
      </c>
      <c r="C51" s="12" t="s">
        <v>329</v>
      </c>
      <c r="D51" s="38">
        <v>10625</v>
      </c>
      <c r="E51" s="38">
        <v>13025</v>
      </c>
      <c r="F51" s="40">
        <v>2400</v>
      </c>
      <c r="G51" s="39">
        <v>0.22588235294117651</v>
      </c>
      <c r="H51" s="13" t="s">
        <v>337</v>
      </c>
      <c r="I51" s="12" t="s">
        <v>182</v>
      </c>
      <c r="J51" s="38">
        <v>274676</v>
      </c>
    </row>
    <row r="52" spans="1:10" ht="14" customHeight="1" x14ac:dyDescent="0.2">
      <c r="A52" s="16" t="s">
        <v>226</v>
      </c>
      <c r="B52" s="16" t="s">
        <v>137</v>
      </c>
      <c r="C52" s="16" t="s">
        <v>331</v>
      </c>
      <c r="D52" s="34">
        <v>8125</v>
      </c>
      <c r="E52" s="34">
        <v>7856</v>
      </c>
      <c r="F52" s="34">
        <v>-269</v>
      </c>
      <c r="G52" s="35">
        <v>-3.310769230769231E-2</v>
      </c>
      <c r="H52" s="17" t="s">
        <v>337</v>
      </c>
      <c r="I52" s="16" t="s">
        <v>182</v>
      </c>
      <c r="J52" s="34">
        <v>282532</v>
      </c>
    </row>
    <row r="53" spans="1:10" ht="14" customHeight="1" x14ac:dyDescent="0.2">
      <c r="A53" s="12" t="s">
        <v>226</v>
      </c>
      <c r="B53" s="12" t="s">
        <v>141</v>
      </c>
      <c r="C53" s="12" t="s">
        <v>333</v>
      </c>
      <c r="D53" s="38">
        <v>6875</v>
      </c>
      <c r="E53" s="38">
        <v>9276</v>
      </c>
      <c r="F53" s="40">
        <v>2401</v>
      </c>
      <c r="G53" s="39">
        <v>0.34923636363636362</v>
      </c>
      <c r="H53" s="13" t="s">
        <v>340</v>
      </c>
      <c r="I53" s="12" t="s">
        <v>181</v>
      </c>
      <c r="J53" s="38">
        <v>291808</v>
      </c>
    </row>
    <row r="54" spans="1:10" ht="14" customHeight="1" x14ac:dyDescent="0.2">
      <c r="A54" s="12" t="s">
        <v>226</v>
      </c>
      <c r="B54" s="12" t="s">
        <v>68</v>
      </c>
      <c r="C54" s="12" t="s">
        <v>334</v>
      </c>
      <c r="D54" s="38">
        <v>1875</v>
      </c>
      <c r="E54" s="38">
        <v>2516</v>
      </c>
      <c r="F54" s="38">
        <v>641</v>
      </c>
      <c r="G54" s="39">
        <v>0.34186666666666671</v>
      </c>
      <c r="H54" s="13" t="s">
        <v>66</v>
      </c>
      <c r="I54" s="12" t="s">
        <v>181</v>
      </c>
      <c r="J54" s="38">
        <v>294324</v>
      </c>
    </row>
    <row r="55" spans="1:10" ht="14" customHeight="1" x14ac:dyDescent="0.2">
      <c r="A55" s="12" t="s">
        <v>226</v>
      </c>
      <c r="B55" s="12" t="s">
        <v>106</v>
      </c>
      <c r="C55" s="12" t="s">
        <v>335</v>
      </c>
      <c r="D55" s="38">
        <v>3750</v>
      </c>
      <c r="E55" s="38">
        <v>4569</v>
      </c>
      <c r="F55" s="38">
        <v>819</v>
      </c>
      <c r="G55" s="39">
        <v>0.21840000000000001</v>
      </c>
      <c r="H55" s="13" t="s">
        <v>56</v>
      </c>
      <c r="I55" s="12" t="s">
        <v>182</v>
      </c>
      <c r="J55" s="38">
        <v>298893</v>
      </c>
    </row>
    <row r="56" spans="1:10" ht="14" customHeight="1" x14ac:dyDescent="0.2">
      <c r="A56" s="12" t="s">
        <v>226</v>
      </c>
      <c r="B56" s="12" t="s">
        <v>54</v>
      </c>
      <c r="C56" s="12" t="s">
        <v>336</v>
      </c>
      <c r="D56" s="38">
        <v>1000</v>
      </c>
      <c r="E56" s="38">
        <v>1155</v>
      </c>
      <c r="F56" s="38">
        <v>155</v>
      </c>
      <c r="G56" s="39">
        <v>0.155</v>
      </c>
      <c r="H56" s="13" t="s">
        <v>332</v>
      </c>
      <c r="I56" s="12" t="s">
        <v>181</v>
      </c>
      <c r="J56" s="38">
        <v>300048</v>
      </c>
    </row>
    <row r="57" spans="1:10" ht="14" customHeight="1" x14ac:dyDescent="0.2">
      <c r="A57" s="8" t="s">
        <v>226</v>
      </c>
      <c r="B57" s="8" t="s">
        <v>60</v>
      </c>
      <c r="C57" s="8" t="s">
        <v>338</v>
      </c>
      <c r="D57" s="36">
        <v>1500</v>
      </c>
      <c r="E57" s="36">
        <v>1511</v>
      </c>
      <c r="F57" s="36">
        <v>11</v>
      </c>
      <c r="G57" s="37">
        <v>7.3333333333333332E-3</v>
      </c>
      <c r="H57" s="9" t="s">
        <v>56</v>
      </c>
      <c r="I57" s="8" t="s">
        <v>182</v>
      </c>
      <c r="J57" s="36">
        <v>301559</v>
      </c>
    </row>
    <row r="58" spans="1:10" ht="14" customHeight="1" x14ac:dyDescent="0.2">
      <c r="A58" s="16" t="s">
        <v>226</v>
      </c>
      <c r="B58" s="16" t="s">
        <v>141</v>
      </c>
      <c r="C58" s="16" t="s">
        <v>339</v>
      </c>
      <c r="D58" s="34">
        <v>0</v>
      </c>
      <c r="E58" s="34">
        <v>0</v>
      </c>
      <c r="F58" s="34">
        <v>0</v>
      </c>
      <c r="G58" s="35">
        <v>0</v>
      </c>
      <c r="H58" s="17" t="s">
        <v>91</v>
      </c>
      <c r="I58" s="16" t="s">
        <v>181</v>
      </c>
      <c r="J58" s="34">
        <v>301559</v>
      </c>
    </row>
    <row r="59" spans="1:10" ht="14" customHeight="1" x14ac:dyDescent="0.2">
      <c r="A59" s="8" t="s">
        <v>230</v>
      </c>
      <c r="B59" s="8" t="s">
        <v>134</v>
      </c>
      <c r="C59" s="8" t="s">
        <v>329</v>
      </c>
      <c r="D59" s="36">
        <v>8500</v>
      </c>
      <c r="E59" s="36">
        <v>9321</v>
      </c>
      <c r="F59" s="36">
        <v>821</v>
      </c>
      <c r="G59" s="37">
        <v>9.6588235294117641E-2</v>
      </c>
      <c r="H59" s="9" t="s">
        <v>56</v>
      </c>
      <c r="I59" s="8" t="s">
        <v>182</v>
      </c>
      <c r="J59" s="36">
        <v>310880</v>
      </c>
    </row>
    <row r="60" spans="1:10" ht="14" customHeight="1" x14ac:dyDescent="0.2">
      <c r="A60" s="16" t="s">
        <v>230</v>
      </c>
      <c r="B60" s="16" t="s">
        <v>146</v>
      </c>
      <c r="C60" s="16" t="s">
        <v>331</v>
      </c>
      <c r="D60" s="34">
        <v>6500</v>
      </c>
      <c r="E60" s="34">
        <v>6259</v>
      </c>
      <c r="F60" s="34">
        <v>-241</v>
      </c>
      <c r="G60" s="35">
        <v>-3.7076923076923077E-2</v>
      </c>
      <c r="H60" s="17" t="s">
        <v>332</v>
      </c>
      <c r="I60" s="16" t="s">
        <v>181</v>
      </c>
      <c r="J60" s="34">
        <v>317139</v>
      </c>
    </row>
    <row r="61" spans="1:10" ht="14" customHeight="1" x14ac:dyDescent="0.2">
      <c r="A61" s="8" t="s">
        <v>230</v>
      </c>
      <c r="B61" s="8" t="s">
        <v>106</v>
      </c>
      <c r="C61" s="8" t="s">
        <v>333</v>
      </c>
      <c r="D61" s="36">
        <v>5500</v>
      </c>
      <c r="E61" s="36">
        <v>6215</v>
      </c>
      <c r="F61" s="36">
        <v>715</v>
      </c>
      <c r="G61" s="37">
        <v>0.13</v>
      </c>
      <c r="H61" s="9" t="s">
        <v>337</v>
      </c>
      <c r="I61" s="8" t="s">
        <v>182</v>
      </c>
      <c r="J61" s="36">
        <v>323354</v>
      </c>
    </row>
    <row r="62" spans="1:10" ht="14" customHeight="1" x14ac:dyDescent="0.2">
      <c r="A62" s="8" t="s">
        <v>230</v>
      </c>
      <c r="B62" s="8" t="s">
        <v>134</v>
      </c>
      <c r="C62" s="8" t="s">
        <v>334</v>
      </c>
      <c r="D62" s="36">
        <v>1500</v>
      </c>
      <c r="E62" s="36">
        <v>1691</v>
      </c>
      <c r="F62" s="36">
        <v>191</v>
      </c>
      <c r="G62" s="37">
        <v>0.1273333333333333</v>
      </c>
      <c r="H62" s="9" t="s">
        <v>330</v>
      </c>
      <c r="I62" s="8" t="s">
        <v>181</v>
      </c>
      <c r="J62" s="36">
        <v>325045</v>
      </c>
    </row>
    <row r="63" spans="1:10" ht="14" customHeight="1" x14ac:dyDescent="0.2">
      <c r="A63" s="8" t="s">
        <v>230</v>
      </c>
      <c r="B63" s="8" t="s">
        <v>111</v>
      </c>
      <c r="C63" s="8" t="s">
        <v>335</v>
      </c>
      <c r="D63" s="36">
        <v>3000</v>
      </c>
      <c r="E63" s="36">
        <v>3015</v>
      </c>
      <c r="F63" s="36">
        <v>15</v>
      </c>
      <c r="G63" s="37">
        <v>5.0000000000000001E-3</v>
      </c>
      <c r="H63" s="9" t="s">
        <v>337</v>
      </c>
      <c r="I63" s="8" t="s">
        <v>182</v>
      </c>
      <c r="J63" s="36">
        <v>328060</v>
      </c>
    </row>
    <row r="64" spans="1:10" ht="14" customHeight="1" x14ac:dyDescent="0.2">
      <c r="A64" s="8" t="s">
        <v>230</v>
      </c>
      <c r="B64" s="8" t="s">
        <v>92</v>
      </c>
      <c r="C64" s="8" t="s">
        <v>336</v>
      </c>
      <c r="D64" s="36">
        <v>800</v>
      </c>
      <c r="E64" s="36">
        <v>861</v>
      </c>
      <c r="F64" s="36">
        <v>61</v>
      </c>
      <c r="G64" s="37">
        <v>7.6249999999999998E-2</v>
      </c>
      <c r="H64" s="9" t="s">
        <v>340</v>
      </c>
      <c r="I64" s="8" t="s">
        <v>181</v>
      </c>
      <c r="J64" s="36">
        <v>328921</v>
      </c>
    </row>
    <row r="65" spans="1:10" ht="14" customHeight="1" x14ac:dyDescent="0.2">
      <c r="A65" s="12" t="s">
        <v>230</v>
      </c>
      <c r="B65" s="12" t="s">
        <v>153</v>
      </c>
      <c r="C65" s="12" t="s">
        <v>338</v>
      </c>
      <c r="D65" s="38">
        <v>1200</v>
      </c>
      <c r="E65" s="38">
        <v>1601</v>
      </c>
      <c r="F65" s="38">
        <v>401</v>
      </c>
      <c r="G65" s="39">
        <v>0.33416666666666672</v>
      </c>
      <c r="H65" s="13" t="s">
        <v>66</v>
      </c>
      <c r="I65" s="12" t="s">
        <v>181</v>
      </c>
      <c r="J65" s="38">
        <v>330522</v>
      </c>
    </row>
    <row r="66" spans="1:10" ht="14" customHeight="1" x14ac:dyDescent="0.2">
      <c r="A66" s="16" t="s">
        <v>230</v>
      </c>
      <c r="B66" s="16" t="s">
        <v>130</v>
      </c>
      <c r="C66" s="16" t="s">
        <v>339</v>
      </c>
      <c r="D66" s="34">
        <v>0</v>
      </c>
      <c r="E66" s="34">
        <v>0</v>
      </c>
      <c r="F66" s="34">
        <v>0</v>
      </c>
      <c r="G66" s="35">
        <v>0</v>
      </c>
      <c r="H66" s="17" t="s">
        <v>56</v>
      </c>
      <c r="I66" s="16" t="s">
        <v>182</v>
      </c>
      <c r="J66" s="34">
        <v>330522</v>
      </c>
    </row>
    <row r="67" spans="1:10" x14ac:dyDescent="0.2">
      <c r="A67" s="63" t="s">
        <v>341</v>
      </c>
      <c r="B67" s="58"/>
      <c r="C67" s="58"/>
      <c r="D67" s="41">
        <f>SUM(D3:D66)</f>
        <v>290251</v>
      </c>
      <c r="E67" s="41">
        <f>SUM(E3:E66)</f>
        <v>330522</v>
      </c>
      <c r="F67" s="41">
        <f>SUM(F3:F66)</f>
        <v>40271</v>
      </c>
    </row>
  </sheetData>
  <mergeCells count="2">
    <mergeCell ref="A67:C67"/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showGridLines="0" workbookViewId="0">
      <selection sqref="A1:K1"/>
    </sheetView>
  </sheetViews>
  <sheetFormatPr baseColWidth="10" defaultColWidth="8.83203125" defaultRowHeight="15" x14ac:dyDescent="0.2"/>
  <cols>
    <col min="1" max="1" width="8" customWidth="1"/>
    <col min="2" max="2" width="13" customWidth="1"/>
    <col min="3" max="3" width="6" customWidth="1"/>
    <col min="4" max="4" width="14" customWidth="1"/>
    <col min="5" max="5" width="42" customWidth="1"/>
    <col min="6" max="6" width="12" customWidth="1"/>
    <col min="7" max="7" width="10" customWidth="1"/>
    <col min="8" max="8" width="16" customWidth="1"/>
    <col min="9" max="9" width="11" customWidth="1"/>
    <col min="10" max="10" width="13" customWidth="1"/>
    <col min="11" max="11" width="15" customWidth="1"/>
  </cols>
  <sheetData>
    <row r="1" spans="1:11" ht="28" customHeight="1" x14ac:dyDescent="0.2">
      <c r="A1" s="66" t="s">
        <v>342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30" customHeight="1" x14ac:dyDescent="0.2">
      <c r="A2" s="4" t="s">
        <v>343</v>
      </c>
      <c r="B2" s="4" t="s">
        <v>164</v>
      </c>
      <c r="C2" s="4" t="s">
        <v>165</v>
      </c>
      <c r="D2" s="4" t="s">
        <v>344</v>
      </c>
      <c r="E2" s="4" t="s">
        <v>345</v>
      </c>
      <c r="F2" s="4" t="s">
        <v>346</v>
      </c>
      <c r="G2" s="4" t="s">
        <v>347</v>
      </c>
      <c r="H2" s="4" t="s">
        <v>348</v>
      </c>
      <c r="I2" s="4" t="s">
        <v>349</v>
      </c>
      <c r="J2" s="4" t="s">
        <v>350</v>
      </c>
      <c r="K2" s="4" t="s">
        <v>351</v>
      </c>
    </row>
    <row r="3" spans="1:11" ht="16" customHeight="1" x14ac:dyDescent="0.2">
      <c r="A3" s="26" t="s">
        <v>352</v>
      </c>
      <c r="B3" s="26" t="s">
        <v>58</v>
      </c>
      <c r="C3" s="26" t="s">
        <v>353</v>
      </c>
      <c r="D3" s="26" t="s">
        <v>354</v>
      </c>
      <c r="E3" s="42" t="s">
        <v>355</v>
      </c>
      <c r="F3" s="26" t="s">
        <v>356</v>
      </c>
      <c r="G3" s="26" t="s">
        <v>181</v>
      </c>
      <c r="H3" s="26" t="s">
        <v>357</v>
      </c>
      <c r="I3" s="26">
        <v>1</v>
      </c>
      <c r="J3" s="27">
        <v>8500</v>
      </c>
      <c r="K3" s="26" t="s">
        <v>358</v>
      </c>
    </row>
    <row r="4" spans="1:11" ht="16" customHeight="1" x14ac:dyDescent="0.2">
      <c r="A4" s="26" t="s">
        <v>359</v>
      </c>
      <c r="B4" s="26" t="s">
        <v>64</v>
      </c>
      <c r="C4" s="26" t="s">
        <v>353</v>
      </c>
      <c r="D4" s="26" t="s">
        <v>150</v>
      </c>
      <c r="E4" s="42" t="s">
        <v>360</v>
      </c>
      <c r="F4" s="26" t="s">
        <v>361</v>
      </c>
      <c r="G4" s="26" t="s">
        <v>181</v>
      </c>
      <c r="H4" s="26" t="s">
        <v>362</v>
      </c>
      <c r="I4" s="26">
        <v>1</v>
      </c>
      <c r="J4" s="27">
        <v>4200</v>
      </c>
      <c r="K4" s="26" t="s">
        <v>363</v>
      </c>
    </row>
    <row r="5" spans="1:11" ht="16" customHeight="1" x14ac:dyDescent="0.2">
      <c r="A5" s="26" t="s">
        <v>364</v>
      </c>
      <c r="B5" s="26" t="s">
        <v>194</v>
      </c>
      <c r="C5" s="26" t="s">
        <v>365</v>
      </c>
      <c r="D5" s="26" t="s">
        <v>366</v>
      </c>
      <c r="E5" s="42" t="s">
        <v>367</v>
      </c>
      <c r="F5" s="26" t="s">
        <v>368</v>
      </c>
      <c r="G5" s="26" t="s">
        <v>181</v>
      </c>
      <c r="H5" s="26" t="s">
        <v>357</v>
      </c>
      <c r="I5" s="26">
        <v>2</v>
      </c>
      <c r="J5" s="27">
        <v>18000</v>
      </c>
      <c r="K5" s="26" t="s">
        <v>68</v>
      </c>
    </row>
    <row r="6" spans="1:11" ht="16" customHeight="1" x14ac:dyDescent="0.2">
      <c r="A6" s="43" t="s">
        <v>369</v>
      </c>
      <c r="B6" s="43" t="s">
        <v>196</v>
      </c>
      <c r="C6" s="43" t="s">
        <v>365</v>
      </c>
      <c r="D6" s="43" t="s">
        <v>354</v>
      </c>
      <c r="E6" s="44" t="s">
        <v>370</v>
      </c>
      <c r="F6" s="43" t="s">
        <v>371</v>
      </c>
      <c r="G6" s="43" t="s">
        <v>181</v>
      </c>
      <c r="H6" s="43" t="s">
        <v>372</v>
      </c>
      <c r="I6" s="43">
        <v>0</v>
      </c>
      <c r="J6" s="45">
        <v>7000</v>
      </c>
      <c r="K6" s="43" t="s">
        <v>373</v>
      </c>
    </row>
    <row r="7" spans="1:11" ht="16" customHeight="1" x14ac:dyDescent="0.2">
      <c r="A7" s="26" t="s">
        <v>374</v>
      </c>
      <c r="B7" s="26" t="s">
        <v>71</v>
      </c>
      <c r="C7" s="26" t="s">
        <v>365</v>
      </c>
      <c r="D7" s="26" t="s">
        <v>375</v>
      </c>
      <c r="E7" s="42" t="s">
        <v>376</v>
      </c>
      <c r="F7" s="26" t="s">
        <v>377</v>
      </c>
      <c r="G7" s="26" t="s">
        <v>181</v>
      </c>
      <c r="H7" s="26" t="s">
        <v>357</v>
      </c>
      <c r="I7" s="26">
        <v>1</v>
      </c>
      <c r="J7" s="27">
        <v>12000</v>
      </c>
      <c r="K7" s="26" t="s">
        <v>87</v>
      </c>
    </row>
    <row r="8" spans="1:11" ht="16" customHeight="1" x14ac:dyDescent="0.2">
      <c r="A8" s="43" t="s">
        <v>378</v>
      </c>
      <c r="B8" s="43" t="s">
        <v>202</v>
      </c>
      <c r="C8" s="43" t="s">
        <v>379</v>
      </c>
      <c r="D8" s="43" t="s">
        <v>354</v>
      </c>
      <c r="E8" s="44" t="s">
        <v>380</v>
      </c>
      <c r="F8" s="43" t="s">
        <v>381</v>
      </c>
      <c r="G8" s="43" t="s">
        <v>181</v>
      </c>
      <c r="H8" s="43" t="s">
        <v>382</v>
      </c>
      <c r="I8" s="43">
        <v>0</v>
      </c>
      <c r="J8" s="45">
        <v>3500</v>
      </c>
      <c r="K8" s="43" t="s">
        <v>363</v>
      </c>
    </row>
    <row r="9" spans="1:11" ht="16" customHeight="1" x14ac:dyDescent="0.2">
      <c r="A9" s="26" t="s">
        <v>383</v>
      </c>
      <c r="B9" s="26" t="s">
        <v>90</v>
      </c>
      <c r="C9" s="26" t="s">
        <v>379</v>
      </c>
      <c r="D9" s="26" t="s">
        <v>340</v>
      </c>
      <c r="E9" s="42" t="s">
        <v>384</v>
      </c>
      <c r="F9" s="26" t="s">
        <v>385</v>
      </c>
      <c r="G9" s="26" t="s">
        <v>181</v>
      </c>
      <c r="H9" s="26" t="s">
        <v>362</v>
      </c>
      <c r="I9" s="26">
        <v>2</v>
      </c>
      <c r="J9" s="27">
        <v>9000</v>
      </c>
      <c r="K9" s="26" t="s">
        <v>386</v>
      </c>
    </row>
    <row r="10" spans="1:11" ht="16" customHeight="1" x14ac:dyDescent="0.2">
      <c r="A10" s="43" t="s">
        <v>387</v>
      </c>
      <c r="B10" s="43" t="s">
        <v>207</v>
      </c>
      <c r="C10" s="43" t="s">
        <v>379</v>
      </c>
      <c r="D10" s="43" t="s">
        <v>329</v>
      </c>
      <c r="E10" s="44" t="s">
        <v>388</v>
      </c>
      <c r="F10" s="43" t="s">
        <v>389</v>
      </c>
      <c r="G10" s="43" t="s">
        <v>181</v>
      </c>
      <c r="H10" s="43" t="s">
        <v>362</v>
      </c>
      <c r="I10" s="43">
        <v>0</v>
      </c>
      <c r="J10" s="45">
        <v>6000</v>
      </c>
      <c r="K10" s="43" t="s">
        <v>101</v>
      </c>
    </row>
    <row r="11" spans="1:11" ht="16" customHeight="1" x14ac:dyDescent="0.2">
      <c r="A11" s="26" t="s">
        <v>390</v>
      </c>
      <c r="B11" s="26" t="s">
        <v>94</v>
      </c>
      <c r="C11" s="26" t="s">
        <v>391</v>
      </c>
      <c r="D11" s="26" t="s">
        <v>354</v>
      </c>
      <c r="E11" s="42" t="s">
        <v>392</v>
      </c>
      <c r="F11" s="26" t="s">
        <v>393</v>
      </c>
      <c r="G11" s="26" t="s">
        <v>181</v>
      </c>
      <c r="H11" s="26" t="s">
        <v>394</v>
      </c>
      <c r="I11" s="26">
        <v>1</v>
      </c>
      <c r="J11" s="27">
        <v>11000</v>
      </c>
      <c r="K11" s="26" t="s">
        <v>395</v>
      </c>
    </row>
    <row r="12" spans="1:11" ht="16" customHeight="1" x14ac:dyDescent="0.2">
      <c r="A12" s="26" t="s">
        <v>396</v>
      </c>
      <c r="B12" s="26" t="s">
        <v>97</v>
      </c>
      <c r="C12" s="26" t="s">
        <v>391</v>
      </c>
      <c r="D12" s="26" t="s">
        <v>366</v>
      </c>
      <c r="E12" s="42" t="s">
        <v>397</v>
      </c>
      <c r="F12" s="26" t="s">
        <v>361</v>
      </c>
      <c r="G12" s="26" t="s">
        <v>181</v>
      </c>
      <c r="H12" s="26" t="s">
        <v>362</v>
      </c>
      <c r="I12" s="26">
        <v>1</v>
      </c>
      <c r="J12" s="27">
        <v>4500</v>
      </c>
      <c r="K12" s="26" t="s">
        <v>398</v>
      </c>
    </row>
    <row r="13" spans="1:11" ht="16" customHeight="1" x14ac:dyDescent="0.2">
      <c r="A13" s="43" t="s">
        <v>399</v>
      </c>
      <c r="B13" s="43" t="s">
        <v>85</v>
      </c>
      <c r="C13" s="43" t="s">
        <v>391</v>
      </c>
      <c r="D13" s="43" t="s">
        <v>340</v>
      </c>
      <c r="E13" s="44" t="s">
        <v>400</v>
      </c>
      <c r="F13" s="43" t="s">
        <v>377</v>
      </c>
      <c r="G13" s="43" t="s">
        <v>181</v>
      </c>
      <c r="H13" s="43" t="s">
        <v>372</v>
      </c>
      <c r="I13" s="43">
        <v>0</v>
      </c>
      <c r="J13" s="45">
        <v>5500</v>
      </c>
      <c r="K13" s="43" t="s">
        <v>111</v>
      </c>
    </row>
    <row r="14" spans="1:11" ht="16" customHeight="1" x14ac:dyDescent="0.2">
      <c r="A14" s="43" t="s">
        <v>401</v>
      </c>
      <c r="B14" s="43" t="s">
        <v>98</v>
      </c>
      <c r="C14" s="43" t="s">
        <v>391</v>
      </c>
      <c r="D14" s="43" t="s">
        <v>354</v>
      </c>
      <c r="E14" s="44" t="s">
        <v>402</v>
      </c>
      <c r="F14" s="43" t="s">
        <v>368</v>
      </c>
      <c r="G14" s="43" t="s">
        <v>181</v>
      </c>
      <c r="H14" s="43" t="s">
        <v>354</v>
      </c>
      <c r="I14" s="43">
        <v>0</v>
      </c>
      <c r="J14" s="45">
        <v>2800</v>
      </c>
      <c r="K14" s="43" t="s">
        <v>403</v>
      </c>
    </row>
    <row r="15" spans="1:11" ht="16" customHeight="1" x14ac:dyDescent="0.2">
      <c r="A15" s="26" t="s">
        <v>404</v>
      </c>
      <c r="B15" s="26" t="s">
        <v>113</v>
      </c>
      <c r="C15" s="26" t="s">
        <v>405</v>
      </c>
      <c r="D15" s="26" t="s">
        <v>375</v>
      </c>
      <c r="E15" s="42" t="s">
        <v>406</v>
      </c>
      <c r="F15" s="26" t="s">
        <v>377</v>
      </c>
      <c r="G15" s="26" t="s">
        <v>181</v>
      </c>
      <c r="H15" s="26" t="s">
        <v>357</v>
      </c>
      <c r="I15" s="26">
        <v>1</v>
      </c>
      <c r="J15" s="27">
        <v>14000</v>
      </c>
      <c r="K15" s="26" t="s">
        <v>117</v>
      </c>
    </row>
    <row r="16" spans="1:11" ht="16" customHeight="1" x14ac:dyDescent="0.2">
      <c r="A16" s="43" t="s">
        <v>407</v>
      </c>
      <c r="B16" s="43" t="s">
        <v>220</v>
      </c>
      <c r="C16" s="43" t="s">
        <v>405</v>
      </c>
      <c r="D16" s="43" t="s">
        <v>354</v>
      </c>
      <c r="E16" s="44" t="s">
        <v>408</v>
      </c>
      <c r="F16" s="43" t="s">
        <v>356</v>
      </c>
      <c r="G16" s="43" t="s">
        <v>181</v>
      </c>
      <c r="H16" s="43" t="s">
        <v>354</v>
      </c>
      <c r="I16" s="43">
        <v>0</v>
      </c>
      <c r="J16" s="45">
        <v>1500</v>
      </c>
      <c r="K16" s="43" t="s">
        <v>122</v>
      </c>
    </row>
    <row r="17" spans="1:11" ht="16" customHeight="1" x14ac:dyDescent="0.2">
      <c r="A17" s="26" t="s">
        <v>409</v>
      </c>
      <c r="B17" s="26" t="s">
        <v>221</v>
      </c>
      <c r="C17" s="26" t="s">
        <v>410</v>
      </c>
      <c r="D17" s="26" t="s">
        <v>366</v>
      </c>
      <c r="E17" s="42" t="s">
        <v>411</v>
      </c>
      <c r="F17" s="26" t="s">
        <v>393</v>
      </c>
      <c r="G17" s="26" t="s">
        <v>181</v>
      </c>
      <c r="H17" s="26" t="s">
        <v>357</v>
      </c>
      <c r="I17" s="26">
        <v>2</v>
      </c>
      <c r="J17" s="27">
        <v>22000</v>
      </c>
      <c r="K17" s="26" t="s">
        <v>412</v>
      </c>
    </row>
    <row r="18" spans="1:11" ht="16" customHeight="1" x14ac:dyDescent="0.2">
      <c r="A18" s="43" t="s">
        <v>413</v>
      </c>
      <c r="B18" s="43" t="s">
        <v>127</v>
      </c>
      <c r="C18" s="43" t="s">
        <v>410</v>
      </c>
      <c r="D18" s="43" t="s">
        <v>329</v>
      </c>
      <c r="E18" s="44" t="s">
        <v>414</v>
      </c>
      <c r="F18" s="43" t="s">
        <v>385</v>
      </c>
      <c r="G18" s="43" t="s">
        <v>181</v>
      </c>
      <c r="H18" s="43" t="s">
        <v>362</v>
      </c>
      <c r="I18" s="43">
        <v>0</v>
      </c>
      <c r="J18" s="45">
        <v>8000</v>
      </c>
      <c r="K18" s="43" t="s">
        <v>115</v>
      </c>
    </row>
    <row r="19" spans="1:11" ht="16" customHeight="1" x14ac:dyDescent="0.2">
      <c r="A19" s="46" t="s">
        <v>415</v>
      </c>
      <c r="B19" s="46" t="s">
        <v>119</v>
      </c>
      <c r="C19" s="46" t="s">
        <v>410</v>
      </c>
      <c r="D19" s="46" t="s">
        <v>354</v>
      </c>
      <c r="E19" s="47" t="s">
        <v>416</v>
      </c>
      <c r="F19" s="46" t="s">
        <v>361</v>
      </c>
      <c r="G19" s="46" t="s">
        <v>182</v>
      </c>
      <c r="H19" s="46" t="s">
        <v>56</v>
      </c>
      <c r="I19" s="46">
        <v>0</v>
      </c>
      <c r="J19" s="48">
        <v>0</v>
      </c>
      <c r="K19" s="46" t="s">
        <v>56</v>
      </c>
    </row>
    <row r="20" spans="1:11" ht="16" customHeight="1" x14ac:dyDescent="0.2">
      <c r="A20" s="26" t="s">
        <v>417</v>
      </c>
      <c r="B20" s="26" t="s">
        <v>128</v>
      </c>
      <c r="C20" s="26" t="s">
        <v>418</v>
      </c>
      <c r="D20" s="26" t="s">
        <v>340</v>
      </c>
      <c r="E20" s="42" t="s">
        <v>419</v>
      </c>
      <c r="F20" s="26" t="s">
        <v>385</v>
      </c>
      <c r="G20" s="26" t="s">
        <v>181</v>
      </c>
      <c r="H20" s="26" t="s">
        <v>362</v>
      </c>
      <c r="I20" s="26">
        <v>1</v>
      </c>
      <c r="J20" s="27">
        <v>7500</v>
      </c>
      <c r="K20" s="26" t="s">
        <v>141</v>
      </c>
    </row>
    <row r="21" spans="1:11" ht="16" customHeight="1" x14ac:dyDescent="0.2">
      <c r="A21" s="26" t="s">
        <v>420</v>
      </c>
      <c r="B21" s="26" t="s">
        <v>139</v>
      </c>
      <c r="C21" s="26" t="s">
        <v>418</v>
      </c>
      <c r="D21" s="26" t="s">
        <v>354</v>
      </c>
      <c r="E21" s="42" t="s">
        <v>421</v>
      </c>
      <c r="F21" s="26" t="s">
        <v>368</v>
      </c>
      <c r="G21" s="26" t="s">
        <v>181</v>
      </c>
      <c r="H21" s="26" t="s">
        <v>357</v>
      </c>
      <c r="I21" s="26">
        <v>1</v>
      </c>
      <c r="J21" s="27">
        <v>9500</v>
      </c>
      <c r="K21" s="26" t="s">
        <v>141</v>
      </c>
    </row>
    <row r="22" spans="1:11" ht="16" customHeight="1" x14ac:dyDescent="0.2">
      <c r="A22" s="43" t="s">
        <v>422</v>
      </c>
      <c r="B22" s="43" t="s">
        <v>132</v>
      </c>
      <c r="C22" s="43" t="s">
        <v>418</v>
      </c>
      <c r="D22" s="43" t="s">
        <v>150</v>
      </c>
      <c r="E22" s="44" t="s">
        <v>423</v>
      </c>
      <c r="F22" s="43" t="s">
        <v>393</v>
      </c>
      <c r="G22" s="43" t="s">
        <v>181</v>
      </c>
      <c r="H22" s="43" t="s">
        <v>362</v>
      </c>
      <c r="I22" s="43">
        <v>0</v>
      </c>
      <c r="J22" s="45">
        <v>2000</v>
      </c>
      <c r="K22" s="43" t="s">
        <v>146</v>
      </c>
    </row>
    <row r="23" spans="1:11" ht="16" customHeight="1" x14ac:dyDescent="0.2">
      <c r="A23" s="26" t="s">
        <v>424</v>
      </c>
      <c r="B23" s="26" t="s">
        <v>121</v>
      </c>
      <c r="C23" s="26" t="s">
        <v>425</v>
      </c>
      <c r="D23" s="26" t="s">
        <v>426</v>
      </c>
      <c r="E23" s="42" t="s">
        <v>427</v>
      </c>
      <c r="F23" s="26" t="s">
        <v>368</v>
      </c>
      <c r="G23" s="26" t="s">
        <v>181</v>
      </c>
      <c r="H23" s="26" t="s">
        <v>362</v>
      </c>
      <c r="I23" s="26">
        <v>1</v>
      </c>
      <c r="J23" s="27">
        <v>5000</v>
      </c>
      <c r="K23" s="26" t="s">
        <v>428</v>
      </c>
    </row>
    <row r="24" spans="1:11" ht="16" customHeight="1" x14ac:dyDescent="0.2">
      <c r="A24" s="46" t="s">
        <v>429</v>
      </c>
      <c r="B24" s="46" t="s">
        <v>144</v>
      </c>
      <c r="C24" s="46" t="s">
        <v>425</v>
      </c>
      <c r="D24" s="46" t="s">
        <v>354</v>
      </c>
      <c r="E24" s="47" t="s">
        <v>430</v>
      </c>
      <c r="F24" s="46" t="s">
        <v>393</v>
      </c>
      <c r="G24" s="46" t="s">
        <v>182</v>
      </c>
      <c r="H24" s="46" t="s">
        <v>56</v>
      </c>
      <c r="I24" s="46">
        <v>0</v>
      </c>
      <c r="J24" s="48">
        <v>0</v>
      </c>
      <c r="K24" s="46" t="s">
        <v>153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showGridLines="0" tabSelected="1" workbookViewId="0">
      <selection sqref="A1:I1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8" width="9" customWidth="1"/>
    <col min="9" max="9" width="18" customWidth="1"/>
  </cols>
  <sheetData>
    <row r="1" spans="1:9" ht="28" customHeight="1" x14ac:dyDescent="0.2">
      <c r="A1" s="66" t="s">
        <v>431</v>
      </c>
      <c r="B1" s="58"/>
      <c r="C1" s="58"/>
      <c r="D1" s="58"/>
      <c r="E1" s="58"/>
      <c r="F1" s="58"/>
      <c r="G1" s="58"/>
      <c r="H1" s="58"/>
      <c r="I1" s="58"/>
    </row>
    <row r="2" spans="1:9" x14ac:dyDescent="0.2">
      <c r="A2" s="65" t="s">
        <v>432</v>
      </c>
      <c r="B2" s="58"/>
      <c r="C2" s="58"/>
      <c r="D2" s="58"/>
      <c r="E2" s="58"/>
      <c r="F2" s="58"/>
      <c r="G2" s="58"/>
      <c r="H2" s="58"/>
      <c r="I2" s="58"/>
    </row>
    <row r="3" spans="1:9" ht="28" customHeight="1" x14ac:dyDescent="0.2">
      <c r="A3" s="49" t="s">
        <v>433</v>
      </c>
      <c r="B3" s="49" t="s">
        <v>434</v>
      </c>
      <c r="C3" s="49" t="s">
        <v>178</v>
      </c>
      <c r="D3" s="49" t="s">
        <v>184</v>
      </c>
      <c r="E3" s="49" t="s">
        <v>187</v>
      </c>
      <c r="F3" s="49" t="s">
        <v>188</v>
      </c>
      <c r="G3" s="49" t="s">
        <v>189</v>
      </c>
      <c r="H3" s="49" t="s">
        <v>435</v>
      </c>
      <c r="I3" s="49" t="s">
        <v>436</v>
      </c>
    </row>
    <row r="4" spans="1:9" ht="16" customHeight="1" x14ac:dyDescent="0.2">
      <c r="A4" s="50" t="s">
        <v>437</v>
      </c>
      <c r="B4" s="50" t="s">
        <v>438</v>
      </c>
      <c r="C4" s="50">
        <v>1</v>
      </c>
      <c r="D4" s="50">
        <v>1</v>
      </c>
      <c r="E4" s="50">
        <v>1</v>
      </c>
      <c r="F4" s="50">
        <v>1</v>
      </c>
      <c r="G4" s="50">
        <v>1</v>
      </c>
      <c r="H4" s="50">
        <v>1</v>
      </c>
      <c r="I4" s="51" t="s">
        <v>439</v>
      </c>
    </row>
    <row r="5" spans="1:9" ht="16" customHeight="1" x14ac:dyDescent="0.2">
      <c r="A5" s="52" t="s">
        <v>440</v>
      </c>
      <c r="B5" s="52" t="s">
        <v>441</v>
      </c>
      <c r="C5" s="52">
        <v>1.72</v>
      </c>
      <c r="D5" s="52">
        <v>1.65</v>
      </c>
      <c r="E5" s="52">
        <v>1.68</v>
      </c>
      <c r="F5" s="52">
        <v>1.7</v>
      </c>
      <c r="G5" s="52">
        <v>1.6</v>
      </c>
      <c r="H5" s="52">
        <v>1.67</v>
      </c>
      <c r="I5" s="53" t="s">
        <v>442</v>
      </c>
    </row>
    <row r="6" spans="1:9" ht="16" customHeight="1" x14ac:dyDescent="0.2">
      <c r="A6" s="54" t="s">
        <v>443</v>
      </c>
      <c r="B6" s="54" t="s">
        <v>444</v>
      </c>
      <c r="C6" s="54">
        <v>1.25</v>
      </c>
      <c r="D6" s="54">
        <v>1.2</v>
      </c>
      <c r="E6" s="54">
        <v>1.22</v>
      </c>
      <c r="F6" s="54">
        <v>1.24</v>
      </c>
      <c r="G6" s="54">
        <v>1.18</v>
      </c>
      <c r="H6" s="54">
        <v>1.22</v>
      </c>
      <c r="I6" s="54" t="s">
        <v>445</v>
      </c>
    </row>
    <row r="7" spans="1:9" ht="16" customHeight="1" x14ac:dyDescent="0.2">
      <c r="A7" s="55" t="s">
        <v>446</v>
      </c>
      <c r="B7" s="55" t="s">
        <v>447</v>
      </c>
      <c r="C7" s="55">
        <v>1.08</v>
      </c>
      <c r="D7" s="55">
        <v>1.05</v>
      </c>
      <c r="E7" s="55">
        <v>1.06</v>
      </c>
      <c r="F7" s="55">
        <v>1.07</v>
      </c>
      <c r="G7" s="55">
        <v>1.05</v>
      </c>
      <c r="H7" s="55">
        <v>1.06</v>
      </c>
      <c r="I7" s="55" t="s">
        <v>448</v>
      </c>
    </row>
    <row r="8" spans="1:9" ht="16" customHeight="1" x14ac:dyDescent="0.2">
      <c r="A8" s="54" t="s">
        <v>449</v>
      </c>
      <c r="B8" s="54" t="s">
        <v>450</v>
      </c>
      <c r="C8" s="54">
        <v>1.18</v>
      </c>
      <c r="D8" s="54">
        <v>1.1499999999999999</v>
      </c>
      <c r="E8" s="54">
        <v>1.2</v>
      </c>
      <c r="F8" s="54">
        <v>1.1599999999999999</v>
      </c>
      <c r="G8" s="54">
        <v>1.1399999999999999</v>
      </c>
      <c r="H8" s="54">
        <v>1.17</v>
      </c>
      <c r="I8" s="54" t="s">
        <v>445</v>
      </c>
    </row>
    <row r="9" spans="1:9" ht="16" customHeight="1" x14ac:dyDescent="0.2">
      <c r="A9" s="55" t="s">
        <v>451</v>
      </c>
      <c r="B9" s="55" t="s">
        <v>452</v>
      </c>
      <c r="C9" s="55">
        <v>1.1000000000000001</v>
      </c>
      <c r="D9" s="55">
        <v>1.08</v>
      </c>
      <c r="E9" s="55">
        <v>1.0900000000000001</v>
      </c>
      <c r="F9" s="55">
        <v>1.1000000000000001</v>
      </c>
      <c r="G9" s="55">
        <v>1.07</v>
      </c>
      <c r="H9" s="55">
        <v>1.0900000000000001</v>
      </c>
      <c r="I9" s="55" t="s">
        <v>448</v>
      </c>
    </row>
    <row r="10" spans="1:9" ht="16" customHeight="1" x14ac:dyDescent="0.2">
      <c r="A10" s="54" t="s">
        <v>453</v>
      </c>
      <c r="B10" s="54" t="s">
        <v>454</v>
      </c>
      <c r="C10" s="54">
        <v>1.32</v>
      </c>
      <c r="D10" s="54">
        <v>1.28</v>
      </c>
      <c r="E10" s="54">
        <v>1.3</v>
      </c>
      <c r="F10" s="54">
        <v>1.31</v>
      </c>
      <c r="G10" s="54">
        <v>1.25</v>
      </c>
      <c r="H10" s="54">
        <v>1.29</v>
      </c>
      <c r="I10" s="54" t="s">
        <v>445</v>
      </c>
    </row>
    <row r="11" spans="1:9" ht="16" customHeight="1" x14ac:dyDescent="0.2">
      <c r="A11" s="52" t="s">
        <v>455</v>
      </c>
      <c r="B11" s="52" t="s">
        <v>456</v>
      </c>
      <c r="C11" s="52">
        <v>1.75</v>
      </c>
      <c r="D11" s="52">
        <v>1.7</v>
      </c>
      <c r="E11" s="52">
        <v>1.68</v>
      </c>
      <c r="F11" s="52">
        <v>1.72</v>
      </c>
      <c r="G11" s="52">
        <v>1.8</v>
      </c>
      <c r="H11" s="52">
        <v>1.73</v>
      </c>
      <c r="I11" s="53" t="s">
        <v>442</v>
      </c>
    </row>
    <row r="12" spans="1:9" ht="16" customHeight="1" x14ac:dyDescent="0.2">
      <c r="A12" s="56" t="s">
        <v>457</v>
      </c>
      <c r="B12" s="56" t="s">
        <v>458</v>
      </c>
      <c r="C12" s="56">
        <v>1.05</v>
      </c>
      <c r="D12" s="56">
        <v>1.03</v>
      </c>
      <c r="E12" s="56">
        <v>1.04</v>
      </c>
      <c r="F12" s="56">
        <v>1.03</v>
      </c>
      <c r="G12" s="56">
        <v>1.02</v>
      </c>
      <c r="H12" s="56">
        <v>1.03</v>
      </c>
      <c r="I12" s="56" t="s">
        <v>448</v>
      </c>
    </row>
    <row r="13" spans="1:9" ht="16" customHeight="1" x14ac:dyDescent="0.2">
      <c r="A13" s="50" t="s">
        <v>459</v>
      </c>
      <c r="B13" s="50" t="s">
        <v>460</v>
      </c>
      <c r="C13" s="50">
        <v>1</v>
      </c>
      <c r="D13" s="50">
        <v>1</v>
      </c>
      <c r="E13" s="50">
        <v>1</v>
      </c>
      <c r="F13" s="50">
        <v>1</v>
      </c>
      <c r="G13" s="50">
        <v>1</v>
      </c>
      <c r="H13" s="50">
        <v>1</v>
      </c>
      <c r="I13" s="51" t="s">
        <v>439</v>
      </c>
    </row>
    <row r="16" spans="1:9" ht="30" customHeight="1" x14ac:dyDescent="0.2">
      <c r="A16" s="67" t="s">
        <v>461</v>
      </c>
      <c r="B16" s="58"/>
      <c r="C16" s="58"/>
      <c r="D16" s="58"/>
      <c r="E16" s="58"/>
      <c r="F16" s="58"/>
      <c r="G16" s="58"/>
      <c r="H16" s="58"/>
      <c r="I16" s="58"/>
    </row>
  </sheetData>
  <mergeCells count="3">
    <mergeCell ref="A1:I1"/>
    <mergeCell ref="A2:I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Overview</vt:lpstr>
      <vt:lpstr>WBS – Task Schedule</vt:lpstr>
      <vt:lpstr>Daily Resource Log</vt:lpstr>
      <vt:lpstr>Traffic Patterns</vt:lpstr>
      <vt:lpstr>Cost Tracking</vt:lpstr>
      <vt:lpstr>Risk &amp; Uncertainty Log</vt:lpstr>
      <vt:lpstr>Traffic – Optimisation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Yadav</cp:lastModifiedBy>
  <dcterms:created xsi:type="dcterms:W3CDTF">2026-04-18T03:38:29Z</dcterms:created>
  <dcterms:modified xsi:type="dcterms:W3CDTF">2026-04-27T04:19:41Z</dcterms:modified>
</cp:coreProperties>
</file>